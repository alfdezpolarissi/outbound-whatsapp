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proyectos\outbound-whatsapp\docs\"/>
    </mc:Choice>
  </mc:AlternateContent>
  <xr:revisionPtr revIDLastSave="0" documentId="13_ncr:1_{1C35DE8B-FC78-458C-8F4C-896A074EE20F}" xr6:coauthVersionLast="47" xr6:coauthVersionMax="47" xr10:uidLastSave="{00000000-0000-0000-0000-000000000000}"/>
  <bookViews>
    <workbookView xWindow="12920" yWindow="2740" windowWidth="38280" windowHeight="15900" tabRatio="500" xr2:uid="{00000000-000D-0000-FFFF-FFFF00000000}"/>
  </bookViews>
  <sheets>
    <sheet name="PONDERACIONES" sheetId="1" r:id="rId1"/>
    <sheet name="COMENTARIOS" sheetId="2" r:id="rId2"/>
    <sheet name="PLAN" sheetId="3" r:id="rId3"/>
    <sheet name="ANALISIS PONDERACIONES" sheetId="4" r:id="rId4"/>
  </sheets>
  <definedNames>
    <definedName name="_xlnm._FilterDatabase" localSheetId="2" hidden="1">PLAN!$A$3:$R$34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4" l="1"/>
  <c r="I10" i="4"/>
  <c r="P6" i="4"/>
  <c r="R6" i="4" s="1"/>
  <c r="I6" i="4"/>
  <c r="T125" i="1"/>
  <c r="T123" i="1"/>
  <c r="T122" i="1"/>
  <c r="T121" i="1"/>
  <c r="T119" i="1"/>
  <c r="T118" i="1"/>
  <c r="T117" i="1"/>
  <c r="T115" i="1"/>
  <c r="T114" i="1"/>
  <c r="T113" i="1"/>
  <c r="T111" i="1"/>
  <c r="T110" i="1"/>
  <c r="T109" i="1"/>
  <c r="T107" i="1"/>
  <c r="T106" i="1"/>
  <c r="T105" i="1"/>
  <c r="T103" i="1"/>
  <c r="T102" i="1"/>
  <c r="T101" i="1"/>
  <c r="T99" i="1"/>
  <c r="T98" i="1"/>
  <c r="T97" i="1"/>
  <c r="T95" i="1"/>
  <c r="T94" i="1"/>
  <c r="T93" i="1"/>
  <c r="T91" i="1"/>
  <c r="T90" i="1"/>
  <c r="T89" i="1"/>
  <c r="T87" i="1"/>
  <c r="T86" i="1"/>
  <c r="T85" i="1"/>
  <c r="T84" i="1"/>
  <c r="T82" i="1"/>
  <c r="T81" i="1"/>
  <c r="T80" i="1"/>
  <c r="T79" i="1"/>
  <c r="T77" i="1"/>
  <c r="T76" i="1"/>
  <c r="T75" i="1"/>
  <c r="T74" i="1"/>
  <c r="T73" i="1"/>
  <c r="T72" i="1"/>
  <c r="T71" i="1"/>
  <c r="T70" i="1"/>
  <c r="T68" i="1"/>
  <c r="T67" i="1"/>
  <c r="T66" i="1"/>
  <c r="T65" i="1"/>
  <c r="T64" i="1"/>
  <c r="T63" i="1"/>
  <c r="T61" i="1"/>
  <c r="T60" i="1"/>
  <c r="T59" i="1"/>
  <c r="T58" i="1"/>
  <c r="T57" i="1"/>
  <c r="T55" i="1"/>
  <c r="T54" i="1"/>
  <c r="T53" i="1"/>
  <c r="T51" i="1"/>
  <c r="T50" i="1"/>
  <c r="T49" i="1"/>
  <c r="T47" i="1"/>
  <c r="T46" i="1"/>
  <c r="T45"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1" authorId="0" shapeId="0" xr:uid="{00000000-0006-0000-0000-000001000000}">
      <text>
        <r>
          <rPr>
            <sz val="11"/>
            <color theme="1"/>
            <rFont val="Aptos Narrow"/>
            <family val="2"/>
            <charset val="1"/>
          </rPr>
          <t>Peso de la pregunta DENTRO de su propia encuesta (Σ = 1 por encuesta).
Es independiente de PONDERACIÓN PREGUNTA (columna R), que sigue sumando 100% por tipo de métrica (CES/CSAT/NPS) a nivel global del documento. No usar esta columna para el cálculo ponderado global de CES/CSAT/NPS.</t>
        </r>
      </text>
    </comment>
  </commentList>
</comments>
</file>

<file path=xl/sharedStrings.xml><?xml version="1.0" encoding="utf-8"?>
<sst xmlns="http://schemas.openxmlformats.org/spreadsheetml/2006/main" count="926" uniqueCount="377">
  <si>
    <t>FASES</t>
  </si>
  <si>
    <t>INTERACCIÓN/ENCUESTA</t>
  </si>
  <si>
    <t>CANAL/RECOPILADOR</t>
  </si>
  <si>
    <t>¿QUÉ HAREMOS?</t>
  </si>
  <si>
    <t>¿CÚANDO?</t>
  </si>
  <si>
    <t>¿CÓMO?</t>
  </si>
  <si>
    <t>TIPO MÉTRICA CES</t>
  </si>
  <si>
    <t>POND CES</t>
  </si>
  <si>
    <t>TIPO MÉTRICA CSAT</t>
  </si>
  <si>
    <t>POND CSAT</t>
  </si>
  <si>
    <t>TIPO MÉTRICA NPS</t>
  </si>
  <si>
    <t>POND NPS</t>
  </si>
  <si>
    <t>FOCO EN</t>
  </si>
  <si>
    <t>TEXTO ENCABEZADO</t>
  </si>
  <si>
    <t>Nº
PREGUNTA</t>
  </si>
  <si>
    <t>TEXTO PREGUNTA</t>
  </si>
  <si>
    <t>TIPO MÉTRICA
PREGUNTA</t>
  </si>
  <si>
    <t>PONDERACIÓN
GLOBAL</t>
  </si>
  <si>
    <t>PONDERACIÓN INDIVIDUAL</t>
  </si>
  <si>
    <t>COMENTARIOS</t>
  </si>
  <si>
    <t>IND.</t>
  </si>
  <si>
    <t>FECHA DE IMPLANTACIÓN</t>
  </si>
  <si>
    <t>FASE DESCUBRIMIENTO
PRIMEROS CONTACTOS</t>
  </si>
  <si>
    <t>APERTURA DE CLIENTE</t>
  </si>
  <si>
    <t>SURVEY MONKEY</t>
  </si>
  <si>
    <t>Email de bienvenida + Encuesta</t>
  </si>
  <si>
    <t>En el momento de la apertura de la cuenta con el email de bienvenida, a efectos de conocer la experiencia de apertura y las facilidades para apertura de cuenta</t>
  </si>
  <si>
    <t>Automatizar el envío desde Mailjet mediante servicio extranet</t>
  </si>
  <si>
    <t>CES Pregunta 1</t>
  </si>
  <si>
    <t>CSAT</t>
  </si>
  <si>
    <t>Proceso de Apertura</t>
  </si>
  <si>
    <t>Queremos conocer su experiencia al abrir su cuenta con nosotros.
Su opinión es clave para seguir mejorando nuestros procesos y ofrecerle un servicio más ágil, claro y sencillo desde el primer día. Le agradecemos que dedique un minuto a responder estas preguntas: su feedback nos ayuda a ajustar nuestros procedimientos y garantizar que cada nuevo cliente tenga una experiencia impecable desde el inicio.</t>
  </si>
  <si>
    <t>¿Qué tan fácil le ha resultado abrir una cuenta con nosotros?</t>
  </si>
  <si>
    <t>CES</t>
  </si>
  <si>
    <t>AVANZAR</t>
  </si>
  <si>
    <t>¿Qué tan clara le resultó la información sobre los requisitos, documentación y pasos necesarios para abrir la cuenta?</t>
  </si>
  <si>
    <t>¿Cómo valoraría la rapidez con la que se gestionó la apertura de su cuenta?</t>
  </si>
  <si>
    <t>SEGUIMIENTO APERTURA</t>
  </si>
  <si>
    <t>Encuesta vía email</t>
  </si>
  <si>
    <t>3 meses después de la apertura</t>
  </si>
  <si>
    <t>Servicio de reparto
Calidad de la atención de pedidos
Alternativas de precio y marcas
Disponibilidad de producto</t>
  </si>
  <si>
    <t>Queremos conocer cómo está siendo tu experiencia en estas primeras semanas como cliente.
Tu opinión es fundamental para asegurarnos de que nuestro servicio de reparto, disponibilidad de productos, precios y gestión de pedidos cumple realmente con lo que tu negocio necesita.
Te pedimos solo un minuto para responder estas preguntas: tus respuestas nos ayudarán a mejorar nuestros procesos y a ofrecerte un servicio más ágil, fiable y adaptado a tu día a día.</t>
  </si>
  <si>
    <t>¿Cómo valorarías tu experiencia con nuestro servicio de reparto en cuanto a puntualidad, cuidado de la entrega y profesionalidad del repartidor?</t>
  </si>
  <si>
    <t>¿Qué tan satisfecho estás con la rapidez, claridad y eficacia en la gestión y seguimiento de tus pedidos?</t>
  </si>
  <si>
    <t>¿Consideras que ofrecemos precios competitivos y suficientes alternativas de marcas para elegir según tus necesidades?</t>
  </si>
  <si>
    <t>¿Con qué frecuencia encuentras disponibles los productos que necesitas y cómo valoras la información sobre stock y alternativas?</t>
  </si>
  <si>
    <t xml:space="preserve"> VISITA COMERCIAL</t>
  </si>
  <si>
    <t>Encuesta presencial visita comercial</t>
  </si>
  <si>
    <t>6 meses después de la apertura</t>
  </si>
  <si>
    <t>Formulario a rellenar en tablet del comercial</t>
  </si>
  <si>
    <t>NPS Pregunta 5</t>
  </si>
  <si>
    <t>Queremos conocer cómo está siendo tu experiencia en estas primeras semanas como cliente.
Tu opinión es fundamental para asegurarnos de que nuestro servicio de reparto, disponibilidad de productos, precios y gestión de pedidos cumple realmente con lo que tu negocio necesita.
Tus respuestas nos ayudarán a mejorar nuestros procesos y a ofrecerte un servicio más ágil, fiable y adaptado a tu día a día.</t>
  </si>
  <si>
    <t>Necesito informar al comercial del protocolo. Automizar recordatorio al comercial tras 6 meses de la apertura.</t>
  </si>
  <si>
    <t>En una escala del 0 al 10, ¿qué probabilidad hay de que recomiendes Vemare a un compañero o amigo?</t>
  </si>
  <si>
    <t>NPS</t>
  </si>
  <si>
    <t>PEDIDO CONSULTA</t>
  </si>
  <si>
    <t>LLAMADA</t>
  </si>
  <si>
    <t>Encuesta email</t>
  </si>
  <si>
    <t>Encuesta aleatoria tras pedidos realizados y de forma automatizada</t>
  </si>
  <si>
    <t>Plataforma de Encuestas con envío automatizado</t>
  </si>
  <si>
    <t>Tiempo de espera
Calidad de la atención
Alternativas de precio y marcas
Disponibilidad de producto</t>
  </si>
  <si>
    <t>Queremos conocer tu experiencia durante el proceso de solicitud y gestión de presupuestos.
Tu opinión es esencial para mejorar nuestros tiempos de respuesta, la claridad de la información que ofrecemos y la disponibilidad de productos y alternativas.
Te agradeceríamos que dedicases un minuto a responder esta breve encuesta.
Tus respuestas nos ayudarán a ofrecerte un servicio más ágil, transparente y adaptado a las necesidades reales de tu negocio.</t>
  </si>
  <si>
    <t>¿Cómo valorarías el tiempo de espera hasta que te atendieron?</t>
  </si>
  <si>
    <t>POR DESARROLLAR - Necesario conocer por parte de Finess si es posible detectar los clientes que han realizado llamadas solicitando presupuesto y hacer locuciones de encuesta aleatorias</t>
  </si>
  <si>
    <t>¿Qué tan satisfecho estás con la claridad, profesionalidad y eficacia del equipo que te atendió?</t>
  </si>
  <si>
    <t>¿Consideras que dispones de suficientes opciones de precio y marcas para elegir la que mejor se adapta a tus necesidades?</t>
  </si>
  <si>
    <t>¿Con qué frecuencia encuentras disponible el producto que necesitas, y cómo valoras la gestión cuando no hay stock?</t>
  </si>
  <si>
    <t>WHATS APP</t>
  </si>
  <si>
    <t>BLIP</t>
  </si>
  <si>
    <t>Encuesta vía WhatsApp</t>
  </si>
  <si>
    <t>Mediante herramienta automatizada de envío de encuestas whatsapp, sirviéndonos de la BBDD de operaciones facilitada por BLIP, donde tengamos el filtro de PRESUPUESTO</t>
  </si>
  <si>
    <t>Tiempo de espera
Calidad de la información
Alternativas de precio y marcas
Disponibilidad de producto, Precio final</t>
  </si>
  <si>
    <t>¡Nos gustaría conocer tu experiencia con nuestro servicio de presupuesto!
Tu opinión nos ayuda a mejorar tiempos de respuesta, atención y disponibilidad de producto.
¿Nos dedicas 1 minuto? Aquí tienes la encuesta 👇</t>
  </si>
  <si>
    <t>PROCESO DE COMPRA</t>
  </si>
  <si>
    <t>ENTREGAS</t>
  </si>
  <si>
    <t>ENRUTA</t>
  </si>
  <si>
    <t>Encuesta Tablet</t>
  </si>
  <si>
    <t>Disponible en Tablet de conductores</t>
  </si>
  <si>
    <t>Mediante nuevo sistema de encuestas presenciales vía tablet</t>
  </si>
  <si>
    <t>Número de repartos, Tiempo de entrega desde pedido, Urgencias</t>
  </si>
  <si>
    <t>Queremos mejorar nuestro servicio de reparto.
Tu opinión nos ayudará a ajustar tiempos, frecuencia y urgencias para adaptarnos mejor a tu taller.</t>
  </si>
  <si>
    <t>¿Quieres valorar la entrega? Muy insatisfecho, Insatisfecho, Neutral, Satisfecho, Muy satisfecho</t>
  </si>
  <si>
    <t>REPARTOS / ENTREGAS</t>
  </si>
  <si>
    <t>Visitas a clientes</t>
  </si>
  <si>
    <t>Mediante formulariode encuestas presenciales vía tablet</t>
  </si>
  <si>
    <t>NPS Pregunta 4</t>
  </si>
  <si>
    <t>Queremos mejorar nuestro servicio de reparto.
Tu opinión nos ayudará a ajustar tiempos, frecuencia y urgencias para adaptarnos mejor a tu taller.
Ayúdanos a mejorar respondiendo a una breve encuesta sobre tu experiencia con nuestro servicio</t>
  </si>
  <si>
    <t>¿El número de repartos que realizamos al día/semanalmente se ajusta a las necesidades de tu taller?</t>
  </si>
  <si>
    <t>¿Cómo valorarías el tiempo que transcurre desde que realizas el pedido hasta que recibes la entrega?</t>
  </si>
  <si>
    <t>¿Qué tan eficiente consideras nuestro servicio de urgencias cuando necesitas un envío rápido o prioritario?</t>
  </si>
  <si>
    <t>En una escala del 0 al 10, ¿qué probabilidad hay de que recomiendes nuestro servicio de reparto a un compañero o amigo?</t>
  </si>
  <si>
    <t>COMPRA WHATSAPP</t>
  </si>
  <si>
    <t>Encuestas aleatorias a usuarios que han realizado pedidos / consultas / presupuestos por este medio</t>
  </si>
  <si>
    <t>Mediante herramient Blip, ya que en operaciones lo tienen operativo</t>
  </si>
  <si>
    <t>NPS Pregunta 6</t>
  </si>
  <si>
    <t>Queremos mejorar VALORANOS
Tu opinión nos ayuda a ofrecer respuestas más rápidas, información más clara y mejores alternativas cuando necesites un producto o consulta.
Ayúdanos a mejorar respondiendo a una breve encuesta sobre tu experiencia con nuestro servicio</t>
  </si>
  <si>
    <t>¿Cómo valoras el tiempo de espera desde que realizas tu pedido hasta que te recibes la contestación? Muy insatisfecho, Insatisfecho, Neutral, Satisfecho, Muy satisfecho</t>
  </si>
  <si>
    <t>¿La información que recibes sobre productos, disponibilidad y entregas es clara, fiable y suficiente para tomar decisiones? Nada adecuada, poco adecuada, aceptable, adecuada, muy adecuada.</t>
  </si>
  <si>
    <t>¿Consideras que ofrecemos suficientes alternativas de precios y marcas para elegir la opción que mejor se ajusta a tus necesidades? Muy insatisfecho, Insatisfecho, Neutral, Satisfecho, Muy Satisfecho</t>
  </si>
  <si>
    <t>¿Con qué frecuencia encuentras disponible el producto que necesitas o se te ofrecen alternativas adecuadas cuando no hay stock?</t>
  </si>
  <si>
    <t>¿Cómo valorarías el precio final que pagas en relación con el valor percibido del producto y del servicio que recibes? Muy mal, Mal, Normal, Bien, Muy bien</t>
  </si>
  <si>
    <t>En una escala del 0 al 10, ¿Qué probabilidad hay de que recomiendes nuestro servicio a un compañero o amigo?</t>
  </si>
  <si>
    <t>COMPRA TELÉFONO</t>
  </si>
  <si>
    <t>FINESSE</t>
  </si>
  <si>
    <t>Encuesta tipo llamada</t>
  </si>
  <si>
    <t>Encuestas tras llamada a usuarios que han realizado pedidos / consultas / presupuestos por este medio.</t>
  </si>
  <si>
    <t>Herramienta de llamadas automatica que realice llamadas aleatorias</t>
  </si>
  <si>
    <t>Queremos mejorar nuestro servicio telefónico.
Tu opinión nos ayuda a ofrecer respuestas más rápidas, información más clara y mejores alternativas cuando un producto no está disponible.
Ayúdanos a mejorar respondiendo a una breve encuesta sobre tu experiencia con nuestro servicio</t>
  </si>
  <si>
    <t>¿Cómo valora el tiempo de espera desde que llama hasta que le atienden al teléfono? Muy insatisfecho, Insatisfecho, Neutral, Satisfecho, Muy satisfecho</t>
  </si>
  <si>
    <t>¿Cómo de satisfecho está con la disponibilidad de producto que necesitas? Muy insatisfecho, Insatisfecho, Neutral, Satisfecho, Muy satisfecho</t>
  </si>
  <si>
    <t>¿Le ofrecen alternativas adecuadas cuando no hay stock? Muy insatisfecho, Insatisfecho, Neutral, Satisfecho, Muy satisfecho</t>
  </si>
  <si>
    <t>En una escala del 0 al 10, ¿qué probabilidad hay de que recomiendes nuestro servicio a un compañero o amigo?</t>
  </si>
  <si>
    <t>AD360</t>
  </si>
  <si>
    <t>Envio email</t>
  </si>
  <si>
    <t>Encuestas a usuarios que realizan pedidos / consultas / presupuestos por este medio</t>
  </si>
  <si>
    <t>Mediante email a usuarios</t>
  </si>
  <si>
    <t>CES Pregunta 4</t>
  </si>
  <si>
    <t>Facilidad del uso, disponibilidad</t>
  </si>
  <si>
    <t xml:space="preserve">Ayúdanos a mejorar AD360.
Tu opinión nos sirve para hacer la plataforma más fácil, clara y útil para tu día a día.
Realizar encuesta aquí. </t>
  </si>
  <si>
    <t>¿Cómo valora la disponibilidad de los productos que necesita? Muy insatisfecho, Insatisfecho, Neutral, Satisfecho, Muy satisfecho</t>
  </si>
  <si>
    <t>¿Cómo valora la claridad de la información facilitada sobre stock? Muy insatisfecho, Insatisfecho, Neutral, Satisfecho, Muy satisfecho</t>
  </si>
  <si>
    <t>¿Cómo valora la oferta de marcas disponibles? Muy insatisfecho, Insatisfecho, Neutral, Satisfecho, Muy satisfecho</t>
  </si>
  <si>
    <t>¿Cómo de fácil le resulta utilizar AD360 para consultar, pedir o gestionar productos? Muy Dificil, Dificil, Neutral, Fácil, Muy Fácil</t>
  </si>
  <si>
    <t>Pop Up Ad 360</t>
  </si>
  <si>
    <t>Mediante pop-up integrado en plataforma AD360</t>
  </si>
  <si>
    <t>¿Cómo ha sido tu experiencia? Tu opinión nos ayuda a mejorar</t>
  </si>
  <si>
    <t>Muy mala, Mala, Normal, Buena, Excelente</t>
  </si>
  <si>
    <t>¿Qué es lo que más te ha gustado?</t>
  </si>
  <si>
    <t>Comentario libre</t>
  </si>
  <si>
    <t>SERVICIOS</t>
  </si>
  <si>
    <t>SERVICIOS MILLENNIUM</t>
  </si>
  <si>
    <t>WHATSAPP/N8N</t>
  </si>
  <si>
    <t>Al finalizar el año</t>
  </si>
  <si>
    <t>Email a los clientes que tienen los servicios ML contratados</t>
  </si>
  <si>
    <t>Calidad de los servicios contratados , otros servicios que contrataría</t>
  </si>
  <si>
    <t>Queremos mejorar los servicios Millennium que utilizas en tu taller.
Tu opinión nos ayuda a ajustar la calidad, utilidad y futuras mejoras para que te aporten más valor en el día a día.
¿Nos dedicas 1 minuto? Aquí tienes la encuesta 👇</t>
  </si>
  <si>
    <t>¿Cómo valora la calidad de los servicios que tiene contratados actualmente con nosotros? Muy insatisfecho, Insatisfecho, Neutral, Satisfecho, Muy satisfecho</t>
  </si>
  <si>
    <t>¿Cómo valora la variedad de servicios y formaciones que están disponibles en el programa Millennium? Muy insatisfecho, Insatisfecho, Neutral, Satisfecho, Muy satisfecho</t>
  </si>
  <si>
    <t>¿Cómo de satisfecho está en términos generales con los servicios contratados del Millennium? Muy insatisfecho, Insatisfecho, Neutral, Satisfecho, Muy satisfecho</t>
  </si>
  <si>
    <t>¿Qué otros servicios te gustaría que ofreciéramos o considerarías contratar para mejorar el rendimiento y eficiencia de tu taller/negocio?</t>
  </si>
  <si>
    <t>WEB / APP</t>
  </si>
  <si>
    <t>BACK OLE / WEB</t>
  </si>
  <si>
    <t>Encuesta tipo pop-up</t>
  </si>
  <si>
    <t>Aleatorias al estar en la App</t>
  </si>
  <si>
    <t>Mediante pop-up integrado en la App</t>
  </si>
  <si>
    <t>CES Pregunta 2</t>
  </si>
  <si>
    <t>Utilidad, Calidad y cantidad de  la informción disponible y uso de la App</t>
  </si>
  <si>
    <t>Ayúdanos a mejorar nuestra web / app.
Tu opinión nos permite hacer la plataforma más práctica, rápida y fácil de usar.
¿Nos dedicas 1 minuto? 👇</t>
  </si>
  <si>
    <t>¿Cómo valora la información disponible en la APP/Web?Muy insatisfecho, Insatisfecho, Neutral, Satisfecho, Muy satisfecho</t>
  </si>
  <si>
    <t>Implementar en la web/App un sistema de reseñas de usuarios</t>
  </si>
  <si>
    <t>¿Cómo de fácil te resulta usar la APP? Muy Dificil, Difícil, Neutral, Fácil, Muy fácil</t>
  </si>
  <si>
    <t>¿Cómo de satisfecho está en términos generales con la APP ? Muy insatisfecho, Insatisfecho, Neutral, Satisfecho, Muy satisfecho</t>
  </si>
  <si>
    <t>¿Qué otros servicios o información te gustaría que ofreciéramos en nuestra APP?</t>
  </si>
  <si>
    <t>FORMACIÓN</t>
  </si>
  <si>
    <t xml:space="preserve">Formulario QR </t>
  </si>
  <si>
    <t>A final de la formación</t>
  </si>
  <si>
    <t>En la presentación al terminar el curso</t>
  </si>
  <si>
    <t>Calidad de la formación, calidad del formador</t>
  </si>
  <si>
    <t>Ayúdanos a mejorar nuestras formaciones.
Tu opinión nos permite ofrecer cursos más útiles, mejor organizados y adaptados a las necesidades reales de tu taller.
PONER QR</t>
  </si>
  <si>
    <t>¿El formador ha transmitido los conocimientos de manera correcta y profesional? Muy insatisfecho, Insatisfecho, Neutral, Satisfecho, Muy satisfecho</t>
  </si>
  <si>
    <t>¿Cómo valora la Comunicación previa y organización del curso? Muy insatisfecho, Insatisfecho, Neutral, Satisfecho, Muy satisfecho</t>
  </si>
  <si>
    <t>¿Cómo de satisfecho está con la formación recibida? Muy insatisfecho, Insatisfecho, Neutral, Satisfecho, Muy satisfecho</t>
  </si>
  <si>
    <t>¿Qué otros cursos de formación le gustaría recibir?</t>
  </si>
  <si>
    <t>POSTVENTA</t>
  </si>
  <si>
    <t>GARANTÍAS</t>
  </si>
  <si>
    <t>Envio Email</t>
  </si>
  <si>
    <t>Trimestral</t>
  </si>
  <si>
    <t>Qué marcas tienen  más garantías, proceso de solicitud y seguimiento y cobro</t>
  </si>
  <si>
    <t>Cómo de satisfecho está con el proceso de garantías y Cómo de fácil le ha resultado el proceso</t>
  </si>
  <si>
    <t>¿Cómo valora la gestión del proceso de garantías? Muy insatisfecho, Insatisfecho, Neutral, Satisfecho, Muy satisfecho</t>
  </si>
  <si>
    <t>¿Cómo de fácil le resulta comunicar una garantía? Muy insatisfecho, Insatisfecho, Neutral, Satisfecho, Muy satisfecho</t>
  </si>
  <si>
    <t>¿Cómo valora la Información que tiene de garantías pendientes? Muy insatisfecho, Insatisfecho, Neutral, Satisfecho, Muy satisfecho</t>
  </si>
  <si>
    <t>¿Le abonan correctamente en tiempo y forma las garantías? Muy insatisfecho, Insatisfecho, Neutral, Satisfecho, Muy satisfecho</t>
  </si>
  <si>
    <t>¿Cómo de satisfecho está con el procedimiento en general de gestión de garantías ? Muy insatisfecho, Insatisfecho, Neutral, Satisfecho, Muy satisfecho</t>
  </si>
  <si>
    <t>Observaciones</t>
  </si>
  <si>
    <t>DEVOLUCIONES</t>
  </si>
  <si>
    <t>Principal motivo por el que devuelven producto, proceso de solicitud y seguimiento</t>
  </si>
  <si>
    <t>Cómo de satisfecho está con el proceso de devoluciones y Cómo de fácil le ha resultado el proceso</t>
  </si>
  <si>
    <t>¿Cuál es el principal motivo de las devoluciones que realizan? Error Vemare no es la correcta, Error nuestro al pedirla, Me ha tardado más de la cuenta en llegar, La pieza viene mal</t>
  </si>
  <si>
    <t>¿Cómo valora la gestión del las devoluciones? Muy insatisfecho, Insatisfecho, Neutral, Satisfecho, Muy satisfecho</t>
  </si>
  <si>
    <t>¿Cómo de fácil le resulta devolver algúna pieza? Muy insatisfecho, Insatisfecho, Neutral, Satisfecho, Muy satisfecho</t>
  </si>
  <si>
    <t>Información de devoluciones pendientes Muy insatisfecho, Insatisfecho, Neutral, Satisfecho, Muy satisfecho</t>
  </si>
  <si>
    <t>¿Le abonan o envian la pieza correcta, correctamente en tiempo y forma las decoluciones? Muy insatisfecho, Insatisfecho, Neutral, Satisfecho, Muy satisfecho</t>
  </si>
  <si>
    <t>¿Cómo de satisfecho está con el procedimiento en general de gestión de garantías ?Muy insatisfecho, Insatisfecho, Neutral, Satisfecho, Muy satisfecho</t>
  </si>
  <si>
    <t>FACTURACIÓN</t>
  </si>
  <si>
    <t>Al enviar la facturación</t>
  </si>
  <si>
    <t>Puntualidad en los envíos, errores en la facturación, claridad de las facturas</t>
  </si>
  <si>
    <t>Cómo de satisfecho está con el proceso de facturación</t>
  </si>
  <si>
    <t>¿Cuál es su canal preferido para recibir las facturas? Email, App, Web Vemare, Ad 360</t>
  </si>
  <si>
    <t>¿Cómo valora la puntualidad en el envío de las facturas? Muy insatisfecho, Insatisfecho, Neutral, Satisfecho, Muy satisfecho</t>
  </si>
  <si>
    <t>¿Cómo valora la claridad y el detalle de las facturas? Muy insatisfecho, Insatisfecho, Neutral, Satisfecho, Muy satisfecho</t>
  </si>
  <si>
    <t>¿Cómo de satisfecho está con lal fiabilidad del proceso de facturación ? Muy insatisfecho, Insatisfecho, Neutral, Satisfecho, Muy satisfecho</t>
  </si>
  <si>
    <t>S.A.T. EQUIPAMIENTO</t>
  </si>
  <si>
    <t>Tiempo en respuesta, tiempo en la soulción del problema, calidad de la reparación</t>
  </si>
  <si>
    <t>Cómo de satisfecho está con el servico del SAT y como de fácil le resulta tramitar una incidencia</t>
  </si>
  <si>
    <t>¿Cómo valoraría la atención del SAT de equipamiento? Muy insatisfecho, Insatisfecho, Neutral, Satisfecho, Muy satisfecho</t>
  </si>
  <si>
    <t>¿Cómo de fácil le resulta comunicar con el SAT? Muy insatisfecho, Insatisfecho, Neutral, Satisfecho, Muy satisfecho</t>
  </si>
  <si>
    <t>¿Cómo de satisfecho está con el tiempo que tardan en atender su avería o mantenimeinto? Muy insatisfecho, Insatisfecho, Neutral, Satisfecho, Muy satisfecho</t>
  </si>
  <si>
    <t>¿Cómo valoraría la calidad de las reparaciones? Muy insatisfecho, Insatisfecho, Neutral, Satisfecho, Muy satisfecho</t>
  </si>
  <si>
    <t>REPARACIÓN</t>
  </si>
  <si>
    <t>Al realizar el servicio</t>
  </si>
  <si>
    <t>Formuario Tablet Técnico SAT</t>
  </si>
  <si>
    <t>Puntualidad, identificación clara de la avería y calidad de la reparación</t>
  </si>
  <si>
    <t xml:space="preserve">Cómo de satisfecho está con el servico del SAT </t>
  </si>
  <si>
    <t>¿Cómo de satisfecho está con el tiempo que han tardado en atender su avería o mantenimeinto? Muy insatisfecho, Insatisfecho, Neutral, Satisfecho, Muy satisfecho</t>
  </si>
  <si>
    <t>¿Cómo valora la atención del técnico que le ha antendido? Muy insatisfecho, Insatisfecho, Neutral, Satisfecho, Muy satisfecho</t>
  </si>
  <si>
    <t>¿Cómo valora la calidad de las reparación? Muy insatisfecho, Insatisfecho, Neutral, Satisfecho, Muy satisfecho</t>
  </si>
  <si>
    <t>¿Cómo valora la atención del SAT de equipamiento? Muy insatisfecho, Insatisfecho, Neutral, Satisfecho, Muy satisfecho</t>
  </si>
  <si>
    <t>S.A.T. SERVICIOS DIGITALES</t>
  </si>
  <si>
    <t>CES Pregutna 2</t>
  </si>
  <si>
    <t>Tiempod e respuesta,  resolución del problema</t>
  </si>
  <si>
    <t>Cómo de satisfecho está con el servico del SAT y como de fácil le resulta contactar con él</t>
  </si>
  <si>
    <t>¿Cómo valoraría la atención del SAT de Servicios Digitales? Muy insatisfecho, Insatisfecho, Neutral, Satisfecho, Muy satisfecho</t>
  </si>
  <si>
    <t>¿Cómo de satisfecho está con el tiempo que tardan en atender su incidencia? Muy insatisfecho, Insatisfecho, Neutral, Satisfecho, Muy satisfecho</t>
  </si>
  <si>
    <t>¿Cómo valoraría la calidad de la atención recibida? Muy insatisfecho, Insatisfecho, Neutral, Satisfecho, Muy satisfecho</t>
  </si>
  <si>
    <t>EVENTOS</t>
  </si>
  <si>
    <t>CN MILLENIUM</t>
  </si>
  <si>
    <t>Envío WhatsApp</t>
  </si>
  <si>
    <t>Día siguiente al evento</t>
  </si>
  <si>
    <t>satisafación con el evento, comunicación previa, las actividades fuera del negocio, acercamiento personal</t>
  </si>
  <si>
    <t>Cómo de satisfecho está con el evento</t>
  </si>
  <si>
    <t>¿Cómo valora la propuesta de este año? Muy insatisfecho, Insatisfecho, Neutral, Satisfecho, Muy satisfecho</t>
  </si>
  <si>
    <t>Cómo valora la organización del evento? Muy insatisfecho, Insatisfecho, Neutral, Satisfecho, Muy satisfecho</t>
  </si>
  <si>
    <t>¿Cómo valora la atención recibida por parte del personal de Grupo Vemare? Muy insatisfecho, Insatisfecho, Neutral, Satisfecho, Muy satisfecho</t>
  </si>
  <si>
    <t>MADRING F1</t>
  </si>
  <si>
    <t>¿Cómo valora la iniciativa de Grupo Vemare? Muy insatisfecho, Insatisfecho, Neutral, Satisfecho, Muy satisfecho</t>
  </si>
  <si>
    <t>Cómo valora la comunicación previa al evento? Muy insatisfecho, Insatisfecho, Neutral, Satisfecho, Muy satisfecho</t>
  </si>
  <si>
    <t>CN PARTNER</t>
  </si>
  <si>
    <t>Día del regreso del evento</t>
  </si>
  <si>
    <t>CN CLUB</t>
  </si>
  <si>
    <t>¿Cómo valora la atención recibida pro parte del personal de Grupo Vemare? Muy insatisfecho, Insatisfecho, Neutral, Satisfecho, Muy satisfecho</t>
  </si>
  <si>
    <t>BERNABEU</t>
  </si>
  <si>
    <t>¿Cómo valora la iniciativa de compartir tiempo fuera de su negocio con nosotros? Muy insatisfecho, Insatisfecho, Neutral, Satisfecho, Muy satisfecho</t>
  </si>
  <si>
    <t>ENCUENTROS CLIENTES</t>
  </si>
  <si>
    <t>QR</t>
  </si>
  <si>
    <t>Al final de la presentación</t>
  </si>
  <si>
    <t>NPS Pregunta 3</t>
  </si>
  <si>
    <t>Cómo valora formar parte de estas reuniones para compartir ideas y mejoras de negocio? Muy poco interesado, Poco Interesado, Neutral, Interensado, Muy Interesado</t>
  </si>
  <si>
    <t>En una escala del 0 al 10, ¿Qué probabilidad hay de que recomiendes nuestra empresa a un compañero o amigo?</t>
  </si>
  <si>
    <t>ENCUENTROS TALLERES AD/PRE</t>
  </si>
  <si>
    <t>Satisfacción con el evento, acciones de la red, cantidad de servicios que usan, feddback</t>
  </si>
  <si>
    <t>Cómo de satisfecho está con el evento y recomendaría a la empresa</t>
  </si>
  <si>
    <t>¿Cómo se identifica con la Red de Taller AD? Muy Poco identificado, Poco Identificado, Neutral, Identificado, Muy Identificado</t>
  </si>
  <si>
    <t>CN ESC</t>
  </si>
  <si>
    <t>¿Cómo se identifica con la Red de Taller Expert Service Car? Muy Poco identificado, Poco Identificado, Neutral, Identificado, Muy Identificado</t>
  </si>
  <si>
    <t>MOVISTAR ARENA</t>
  </si>
  <si>
    <t>Envío WhatsApp
(mientras email)</t>
  </si>
  <si>
    <t>Cómo valoraría la comunicación previa al evento? Muy insatisfecho, Insatisfecho, Neutral, Satisfecho, Muy satisfecho</t>
  </si>
  <si>
    <t>¿Cómo valoraría la atención recibida por parte del personal de Grupo Vemare? Muy insatisfecho, Insatisfecho, Neutral, Satisfecho, Muy satisfecho</t>
  </si>
  <si>
    <t>SIEMPRE ACTIVAS</t>
  </si>
  <si>
    <t>FOOTER COMUNICACIONES</t>
  </si>
  <si>
    <t>link en footer</t>
  </si>
  <si>
    <t>siemrpe que comuniquemos</t>
  </si>
  <si>
    <t>Formulario encuestas</t>
  </si>
  <si>
    <t>recomendación de la emrpesa</t>
  </si>
  <si>
    <t>¿Con que probabilidad nos recomendarías?</t>
  </si>
  <si>
    <t>CUSTOMER JOURNEY</t>
  </si>
  <si>
    <t>Descubrimiento (primer contacto, marketing, web)</t>
  </si>
  <si>
    <t>WEB</t>
  </si>
  <si>
    <t>Evaluación (consulta, presupuesto, asesoramiento)</t>
  </si>
  <si>
    <t>Compra (pedido, condiciones, entrega)</t>
  </si>
  <si>
    <t>REPARTIDORES</t>
  </si>
  <si>
    <t>Postventa (soporte, incidencias, facturación)</t>
  </si>
  <si>
    <t>FACTURA</t>
  </si>
  <si>
    <t>SAT</t>
  </si>
  <si>
    <t>EVENTO</t>
  </si>
  <si>
    <t>Fidelización (renovación, recompra, relación comercia</t>
  </si>
  <si>
    <t>RENOVACION CONTRATO</t>
  </si>
  <si>
    <t>INDICADORES Y HERRAMIENTAS</t>
  </si>
  <si>
    <t>Satisfacción: ¿Cómo valoran la experiencia en cada interacción?</t>
  </si>
  <si>
    <t>Expectativas: ¿Qué esperan antes de la compra y después?</t>
  </si>
  <si>
    <t>Percepción de marca: ¿Cómo nos ven frente a la competencia?</t>
  </si>
  <si>
    <t>SEGMENTACION DE CLIENTES</t>
  </si>
  <si>
    <t>Volumen de compra (grandes cuentas vs. clientes medianos).</t>
  </si>
  <si>
    <t>Frecuencia (recurrentes vs. ocasionales).</t>
  </si>
  <si>
    <t>Potencial de crecimiento.</t>
  </si>
  <si>
    <t>6. KPI iniciales</t>
  </si>
  <si>
    <t>Tasa de respuesta a encuestas (&gt;30% objetivo).</t>
  </si>
  <si>
    <t>CSAT promedio por etapa.</t>
  </si>
  <si>
    <t>NPS global.</t>
  </si>
  <si>
    <t>Número de insights cualitativos (comentarios útiles para mejora).</t>
  </si>
  <si>
    <t>✅ Alternativas y Acciones para Obtener Feedback</t>
  </si>
  <si>
    <t>1. Encuestas integradas en el flujo natural del cliente</t>
  </si>
  <si>
    <t>WhatsApp Business: mensajes cortos y directos tras la entrega o cierre de pedido.</t>
  </si>
  <si>
    <t>SMS con enlace rápido: funciona bien para respuestas inmediatas.</t>
  </si>
  <si>
    <t>Pop-ups en la web o portal de clientes: cuando acceden a consultar pedidos o facturas.</t>
  </si>
  <si>
    <t>Por qué funciona: El cliente responde en el momento, sin salir de su rutina.</t>
  </si>
  <si>
    <t>2. Feedback en tiempo real durante interacciones</t>
  </si>
  <si>
    <t>Llamadas postventa: el comercial o atención al cliente pregunta 2-3 cuestiones clave.</t>
  </si>
  <si>
    <t>Chat en la web: incluir una pregunta rápida al finalizar la conversación.</t>
  </si>
  <si>
    <t>QR en albaranes o facturas: “Valora tu experiencia en 10 segundos”.</t>
  </si>
  <si>
    <t>Por qué funciona: Aprovecha el contacto directo y reduce fricción.</t>
  </si>
  <si>
    <t>3. Incentivos y gamificación</t>
  </si>
  <si>
    <t>Pequeños beneficios: descuentos en próxima compra, acceso a contenido exclusivo.</t>
  </si>
  <si>
    <t>Ranking de participación: “Ayúdanos a mejorar y entra en el sorteo de X”.</t>
  </si>
  <si>
    <t>Por qué funciona: Motiva la respuesta en clientes menos participativos.</t>
  </si>
  <si>
    <t>4. Entrevistas cualitativas con cuentas clave</t>
  </si>
  <si>
    <t>Agenda 15-20 minutos con clientes estratégicos.</t>
  </si>
  <si>
    <t>Haz preguntas abiertas sobre expectativas, percepción y mejoras.</t>
  </si>
  <si>
    <t>Usa videollamada o presencial para generar confianza.</t>
  </si>
  <si>
    <t>Por qué funciona: Obtienes insights profundos y relaciones más sólidas.</t>
  </si>
  <si>
    <t>5. Integración con CRM y automatización</t>
  </si>
  <si>
    <t>Trigger automático tras cada pedido o incidencia.</t>
  </si>
  <si>
    <t>Segmentación: prioriza clientes con mayor volumen o frecuencia.</t>
  </si>
  <si>
    <t>Alertas internas: si un cliente no responde, el comercial hace seguimiento.</t>
  </si>
  <si>
    <t>6. Escucha activa en canales indirectos</t>
  </si>
  <si>
    <t>Analiza emails, reclamaciones y comentarios espontáneos.</t>
  </si>
  <si>
    <t>Usa herramientas de text analytics para detectar patrones (palabras clave: “tiempo”, “precio”, “atención”).</t>
  </si>
  <si>
    <t/>
  </si>
  <si>
    <t>PREGUNTAS</t>
  </si>
  <si>
    <t>1. ¿Qué tan fácil le ha resultado abrir una cuenta con nosotros?
2. ¿Qué tan clara le resultó la información sobre los requisitos, documentación y pasos necesarios para abrir la cuenta?
3. ¿Cómo valoraría la rapidez con la que se gestionó la apertura de su cuenta?</t>
  </si>
  <si>
    <t>1. ¿Cómo valorarías tu experiencia con nuestro servicio de reparto en cuanto a puntualidad, cuidado de la entrega y profesionalidad del repartidor?
2. ¿Qué tan satisfecho estás con la rapidez, claridad y eficacia en la gestión y seguimiento de tus pedidos?
3. ¿Consideras que ofrecemos precios competitivos y suficientes alternativas de marcas para elegir según tus necesidades?
4. ¿Con qué frecuencia encuentras disponibles los productos que necesitas y cómo valoras la información sobre stock y alternativas?</t>
  </si>
  <si>
    <t>1. ¿Cómo valorarías tu experiencia con nuestro servicio de reparto en cuanto a puntualidad, cuidado de la entrega y profesionalidad del repartidor?
2. ¿Qué tan satisfecho estás con la rapidez, claridad y eficacia en la gestión y seguimiento de tus pedidos?
3. ¿Consideras que ofrecemos precios competitivos y suficientes alternativas de marcas para elegir según tus necesidades?
4. ¿Con qué frecuencia encuentras disponibles los productos que necesitas y cómo valoras la información sobre stock y alternativas?
5. En una escala del 0 al 10, ¿qué probabilidad hay de que recomiendes Vemare a un compañero o amigo?</t>
  </si>
  <si>
    <t>1. ¿Cómo valorarías el tiempo de espera hasta que te atendieron?
2. ¿Qué tan satisfecho estás con la claridad, profesionalidad y eficacia del equipo que te atendió?
3. ¿Consideras que dispones de suficientes opciones de precio y marcas para elegir la que mejor se adapta a tus necesidades?
4. ¿Con qué frecuencia encuentras disponible el producto que necesitas, y cómo valoras la gestión cuando no hay stock?
5. En una escala del 0 al 10, ¿qué probabilidad hay de que recomiendes Vemare a un compañero o amigo?</t>
  </si>
  <si>
    <t xml:space="preserve">1. ¿Quieres valorar la entrega? Muy insatisfecho, Insatisfecho, Neutral, Satisfecho, Muy satisfecho
</t>
  </si>
  <si>
    <t>1. ¿El número de repartos que realizamos al día/semanalmente se ajusta a las necesidades de tu taller?
2. ¿Cómo valorarías el tiempo que transcurre desde que realizas el pedido hasta que recibes la entrega?
3. ¿Qué tan eficiente consideras nuestro servicio de urgencias cuando necesitas un envío rápido o prioritario?
4. En una escala del 0 al 10, ¿qué probabilidad hay de que recomiendes nuestro servicio de reparto a un compañero o amigo?</t>
  </si>
  <si>
    <t>1. ¿Cómo valoras el tiempo de espera desde que realizas tu pedido hasta que te recibes la contestación? Muy insatisfecho, Insatisfecho, Neutral, Satisfecho, Muy satisfecho
2. ¿La información que recibes sobre productos, disponibilidad y entregas es clara, fiable y suficiente para tomar decisiones? Nada adecuada, poco adecuada, aceptable, adecuada, muy adecuada.
3. ¿Consideras que ofrecemos suficientes alternativas de precios y marcas para elegir la opción que mejor se ajusta a tus necesidades? Muy insatisfecho, Insatisfecho, Neutral, Satisfecho, Muy Satisfecho
4. ¿Con qué frecuencia encuentras disponible el producto que necesitas o se te ofrecen alternativas adecuadas cuando no hay stock? 
5. ¿Cómo valorarías el precio final que pagas en relación con el valor percibido del producto y del servicio que recibes? Muy mal, Mal, Normal, Bien, Muy bien
6. En una escala del 0 al 10, ¿Qué probabilidad hay de que recomiendes nuestro servicio a un compañero o amigo?</t>
  </si>
  <si>
    <t>1. ¿Cómo valora el tiempo de espera desde que llama hasta que le atienden al teléfono? Muy insatisfecho, Insatisfecho, Neutral, Satisfecho, Muy satisfecho
2. ¿Considera que ofrecemos suficientes alternativas de precios y marcas para elegir la opción que mejor se ajusta a tus necesidades?Muy insatisfecho, Insatisfecho, Neutral, Satisfecho, Muy satisfecho
3. ¿Cómo de satisfecho está con la disponibilidad de producto que necesitas? Muy insatisfecho, Insatisfecho, Neutral, Satisfecho, Muy satisfecho
4. ¿Le ofrecen alternativas adecuadas cuando no hay stock? Muy insatisfecho, Insatisfecho, Neutral, Satisfecho, Muy satisfecho
5. ¿Cómo valora el precio final que pagas en relación con el valor percibido del producto y del servicio que recibes?Muy insatisfecho, Insatisfecho, Neutral, Satisfecho, Muy satisfecho
6. En una escala del 0 al 10, ¿qué probabilidad hay de que recomiendes nuestro servicio a un compañero o amigo?</t>
  </si>
  <si>
    <t>1. ¿Cómo valora la disponibilidad de los productos que necesita? Muy insatisfecho, Insatisfecho, Neutral, Satisfecho, Muy satisfecho
2. ¿Cómo valora la claridad de la información facilitada sobre stock? Muy insatisfecho, Insatisfecho, Neutral, Satisfecho, Muy satisfecho
3. ¿Cómo valora la oferta de marcas disponibles?  Muy insatisfecho, Insatisfecho, Neutral, Satisfecho, Muy satisfecho
4. ¿Cómo de fácil le resulta utilizar AD360 para consultar, pedir o gestionar productos? Muy Dificil, Dificil, Neutral, Fácil, Muy Fácil</t>
  </si>
  <si>
    <t>1. Muy  mala, Mala, Normal, Buena, Excelente
2-¿Qué es lo que más te ha gustado?</t>
  </si>
  <si>
    <t>1. ¿Cómo valora la calidad de los servicios que tiene contratados actualmente con nosotros? Muy insatisfecho, Insatisfecho, Neutral, Satisfecho, Muy satisfecho
 2.¿Cómo valora la variedad de servicios y formaciones que están disponibles en el programa Millennium? Muy insatisfecho, Insatisfecho, Neutral, Satisfecho, Muy satisfecho
3. ¿Qué otros servicios te gustaría que ofreciéramos o considerarías contratar para mejorar el rendimiento y eficiencia de tu taller/negocio?
4. ¿Cómo de satisfecho está en términos generales con los servicios contratados del Millennium? Muy insatisfecho, Insatisfecho, Neutral, Satisfecho, Muy satisfecho</t>
  </si>
  <si>
    <t>1. ¿Cómo valora la información disponible en la APP/Web?Muy insatisfecho, Insatisfecho, Neutral, Satisfecho, Muy satisfecho
 2. ¿Cómo de fácil te resulta usar la APP? Muy Dificil, Difícil, Neutral, Fácil, Muy fácil
3. ¿Qué otros servicios o información te gustaría que ofreciéramos en nuestra APP?
4. ¿Cómo de satisfecho está en términos generales con la APP ? Muy insatisfecho, Insatisfecho, Neutral, Satisfecho, Muy satisfecho</t>
  </si>
  <si>
    <t>1. ¿El formador ha transmitido los conocimientos de manera correcta y profesional? Muy insatisfecho, Insatisfecho, Neutral, Satisfecho, Muy satisfecho
2. ¿Cómo valora la Comunicación previa y organización del curso? Muy insatisfecho, Insatisfecho, Neutral, Satisfecho, Muy satisfecho
3. ¿Cómo de satisfecho está con la formación recibida? Muy insatisfecho, Insatisfecho, Neutral, Satisfecho, Muy satisfecho
4. ¿Qué otros cursos de formación le gustaría recibir?</t>
  </si>
  <si>
    <t>1. ¿Cómo valora la gestión del proceso de garantías? Muy insatisfecho, Insatisfecho, Neutral, Satisfecho, Muy satisfecho
2. ¿Cómo de fácil le resulta comunicar una garantía? Muy insatisfecho, Insatisfecho, Neutral, Satisfecho, Muy satisfecho
3. ¿Cómo valora la Información que tiene de garantías pendientes? Muy insatisfecho, Insatisfecho, Neutral, Satisfecho, Muy satisfecho
 4. ¿Le abonan correctamente en tiempo y forma las garantías? Muy insatisfecho, Insatisfecho, Neutral, Satisfecho, Muy satisfecho 
5.  ¿Cómo de satisfecho está con el procedimiento en general de gestión de garantías ? Muy insatisfecho, Insatisfecho, Neutral, Satisfecho, Muy satisfecho
6. Observaciones</t>
  </si>
  <si>
    <t>1. ¿Cuál es el principal motivo de las devoluciones que realizan? Error Vemare no es la correcta, Error nuestro al pedirla, Me ha tardado más de la cuenta en llegar, La pieza viene mal
2. ¿Cómo valora la gestión del las devoluciones? Muy insatisfecho, Insatisfecho, Neutral, Satisfecho, Muy satisfecho
3. ¿Cómo de fácil le resulta devolver algúna pieza? Muy insatisfecho, Insatisfecho, Neutral, Satisfecho, Muy satisfecho
4. Información de devoluciones pendientes Muy insatisfecho, Insatisfecho, Neutral, Satisfecho, Muy satisfecho
5. ¿Le abonan o envian la pieza correcta, correctamente en tiempo y forma las decoluciones? Muy insatisfecho, Insatisfecho, Neutral, Satisfecho, Muy satisfecho 
6. ¿Cómo de satisfecho está con el procedimiento en general de gestión de garantías ?Muy insatisfecho, Insatisfecho, Neutral, Satisfecho, Muy satisfecho
7.  Observaciones</t>
  </si>
  <si>
    <t>1. ¿Cuál es su canal preferido para recibir las facturas? Email, App, Web Vemare, Ad 360
2. ¿Cómo valora la puntualidad en el envío de las facturas? Muy insatisfecho, Insatisfecho, Neutral, Satisfecho, Muy satisfecho
3. ¿Cómo valora la claridad y el detalle de las facturas? Muy insatisfecho, Insatisfecho, Neutral, Satisfecho, Muy satisfecho
4. ¿Cómo de satisfecho está con lal fiabilidad del proceso de facturación ? Muy insatisfecho, Insatisfecho, Neutral, Satisfecho, Muy satisfecho</t>
  </si>
  <si>
    <t xml:space="preserve">1. ¿Cómo valoraría la atención del SAT de equipamiento? Muy insatisfecho, Insatisfecho, Neutral, Satisfecho, Muy satisfecho
2. ¿Cómo de fácil le resulta comunicar con el SAT? Muy insatisfecho, Insatisfecho, Neutral, Satisfecho, Muy satisfecho
3. ¿Cómo de satisfecho está con el tiempo que tardan en atender su avería o mantenimeinto? Muy insatisfecho, Insatisfecho, Neutral, Satisfecho, Muy satisfecho
 4. ¿Cómo valoraría la calidad de las reparaciones? Muy insatisfecho, Insatisfecho, Neutral, Satisfecho, Muy satisfecho 
5.  Observaciones
</t>
  </si>
  <si>
    <t>1. ¿Cómo de satisfecho está con el tiempo que han tardado en atender su avería o mantenimeinto? Muy insatisfecho, Insatisfecho, Neutral, Satisfecho, Muy satisfecho
2. ¿Cómo valora la atención del técnico que le ha antendido? Muy insatisfecho, Insatisfecho, Neutral, Satisfecho, Muy satisfecho
 3. ¿Cómo valora la calidad de las reparación? Muy insatisfecho, Insatisfecho, Neutral, Satisfecho, Muy satisfecho 
4. ¿Cómo valora la atención del SAT de equipamiento? Muy insatisfecho, Insatisfecho, Neutral, Satisfecho, Muy satisfecho
5. Observaciones</t>
  </si>
  <si>
    <t xml:space="preserve">1. ¿Cómo valoraría la atención del SAT de Servicios Digitales? Muy insatisfecho, Insatisfecho, Neutral, Satisfecho, Muy satisfecho
2. ¿Cómo de fácil le resulta comunicar con el SAT? Muy insatisfecho, Insatisfecho, Neutral, Satisfecho, Muy satisfecho
3. ¿Cómo de satisfecho está con el tiempo que tardan en atender su incidencia? Muy insatisfecho, Insatisfecho, Neutral, Satisfecho, Muy satisfecho
 4. ¿Cómo valoraría la calidad de la atención recibida? Muy insatisfecho, Insatisfecho, Neutral, Satisfecho, Muy satisfecho 
5.  Observaciones
</t>
  </si>
  <si>
    <t>1.¿Cómo valora la propuesta de este año?  Muy insatisfecho, Insatisfecho, Neutral, Satisfecho, Muy satisfecho
2- Cómo valora la organización del evento? Muy insatisfecho, Insatisfecho, Neutral, Satisfecho, Muy satisfecho
3. ¿Cómo valora la atención recibida por parte del personal de Grupo Vemare? Muy insatisfecho, Insatisfecho, Neutral, Satisfecho, Muy satisfecho
4. Observaciones</t>
  </si>
  <si>
    <t>1.¿Cómo valora la iniciativa de Grupo Vemare?  Muy insatisfecho, Insatisfecho, Neutral, Satisfecho, Muy satisfecho
2- Cómo valora la comunicación previa al evento? Muy insatisfecho, Insatisfecho, Neutral, Satisfecho, Muy satisfecho
3. ¿Cómo valora la atención recibida por parte del personal de Grupo Vemare? Muy insatisfecho, Insatisfecho, Neutral, Satisfecho, Muy satisfecho
4. Observaciones</t>
  </si>
  <si>
    <t>1.¿Cómo valora la propuesta de este año?  Muy insatisfecho, Insatisfecho, Neutral, Satisfecho, Muy satisfecho
2- Cómo valora la organización del evento? Muy insatisfecho, Insatisfecho, Neutral, Satisfecho, Muy satisfecho
3. ¿Cómo valora la atención recibida pro parte del personal de Grupo Vemare? Muy insatisfecho, Insatisfecho, Neutral, Satisfecho, Muy satisfecho
4. Observaciones</t>
  </si>
  <si>
    <t>1.¿Cómo valora la iniciativa de compartir tiempo fuera de su negocio con nosotros?  Muy insatisfecho, Insatisfecho, Neutral, Satisfecho, Muy satisfecho
2- Cómo valora la comunicación previa al evento? Muy insatisfecho, Insatisfecho, Neutral, Satisfecho, Muy satisfecho
3. ¿Cómo valora la atención recibida por parte del personal de Grupo Vemare? Muy insatisfecho, Insatisfecho, Neutral, Satisfecho, Muy satisfecho
4. Observaciones</t>
  </si>
  <si>
    <t>1.¿Cómo valora la iniciativa de compartir tiempo fuera de su negocio con nosotros?  Muy insatisfecho, Insatisfecho, Neutral, Satisfecho, Muy satisfecho
2- Cómo valora formar parte de estas reuniones para compartir ideas y mejoras de negocio? Muy poco interesado,  Poco Interesado, Neutral, Interensado, Muy Interesado
3. En una escala del 0 al 10, ¿Qué probabilidad hay de que recomiendes nuestra empresa a un compañero o amigo? 
4. Observaciones</t>
  </si>
  <si>
    <t>1- Cómo valora formar parte de estas reuniones para compartir ideas y mejoras de negocio? Muy poco interesado,  Poco Interesado, Neutral, Interensado, Muy Interesado
2. ¿Cómo se identifica con la Red de Taller AD? Muy Poco identificado, Poco Identificado,  Neutral, Identificado, Muy Identificado  
3. En una escala del 0 al 10, ¿Qué probabilidad hay de que recomiendes nuestra empresa a un compañero o amigo?
4. Observaciones</t>
  </si>
  <si>
    <t>1- Cómo valora formar parte de estas reuniones para compartir ideas y mejoras de negocio? Muy poco interesado,  Poco Interesado, Neutral, Interensado, Muy Interesado
2. ¿Cómo se identifica con la Red de Taller Expert Service Car? Muy Poco identificado, Poco Identificado,  Neutral, Identificado, Muy Identificado  
3. En una escala del 0 al 10, ¿Qué probabilidad hay de que recomiendes nuestra empresa a un compañero o amigo?
4. Observaciones</t>
  </si>
  <si>
    <t>1.¿Cómo valora la iniciativa de compartir tiempo fuera de su negocio con nosotros?  Muy insatisfecho, Insatisfecho, Neutral, Satisfecho, Muy satisfecho
2- Cómo valoraría la comunicación previa al evento? Muy insatisfecho, Insatisfecho, Neutral, Satisfecho, Muy satisfecho
3. ¿Cómo valoraría la atención recibida por parte del personal de Grupo Vemare? Muy insatisfecho, Insatisfecho, Neutral, Satisfecho, Muy satisfecho
4. Observaciones</t>
  </si>
  <si>
    <t xml:space="preserve"> 1.En una escala del 0 al 10, ¿Qué probabilidad hay de que recomiendes nuestra empresa a un compañero o amigo? 
2. Observaciones</t>
  </si>
  <si>
    <t>GOOGLE MY BUSINESS</t>
  </si>
  <si>
    <t>pasiva</t>
  </si>
  <si>
    <t>reseñas google</t>
  </si>
  <si>
    <t>abierta</t>
  </si>
  <si>
    <t>abierto</t>
  </si>
  <si>
    <t>Sistema de estrellas CSAT de Google</t>
  </si>
  <si>
    <t>Ratio Ideal</t>
  </si>
  <si>
    <t>Qué mide cada métrica</t>
  </si>
  <si>
    <t>¿Cómo estamos en Experiencia de Cliente?</t>
  </si>
  <si>
    <t>Claves de lectura:</t>
  </si>
  <si>
    <t>&gt;60%</t>
  </si>
  <si>
    <t>NPS → Relación y lealtad global</t>
  </si>
  <si>
    <t>KPIs principales:</t>
  </si>
  <si>
    <t>CSAT bajo + CES alto → problema operativo</t>
  </si>
  <si>
    <t>&gt;75%</t>
  </si>
  <si>
    <t>CSAT → Calidad de interacciones concretas</t>
  </si>
  <si>
    <t>NPS Global (últimos 30 / 90 días)</t>
  </si>
  <si>
    <t>CSAT alto + NPS bajo → experiencia correcta pero sin vínculo emocional</t>
  </si>
  <si>
    <t>&gt;2,5</t>
  </si>
  <si>
    <t>CES → Fricción / esfuerzo del cliente</t>
  </si>
  <si>
    <t>CSAT Global (%) → % respuestas 4–5</t>
  </si>
  <si>
    <t>NPS alto + CSAT bajo en una etapa → riesgo futuro</t>
  </si>
  <si>
    <t>CES Global (media 1–5)</t>
  </si>
  <si>
    <t>Tasa de respuesta</t>
  </si>
  <si>
    <t>Medición encuesta</t>
  </si>
  <si>
    <t>Sólo se deben contemplar datos de encuestas que superen el 10% de tasa de respuesta</t>
  </si>
  <si>
    <t>CLIENTES ENCUESTADOS</t>
  </si>
  <si>
    <t>MUY INSATISFECHO</t>
  </si>
  <si>
    <t>INSATISFECHO</t>
  </si>
  <si>
    <t>NEUTRAL</t>
  </si>
  <si>
    <t>SATISFECHO</t>
  </si>
  <si>
    <t>MUY SATISFECHO</t>
  </si>
  <si>
    <t>PREGUNTA</t>
  </si>
  <si>
    <t>CSAT PONDERADO</t>
  </si>
  <si>
    <t>NOTA</t>
  </si>
  <si>
    <t>PESO</t>
  </si>
  <si>
    <t>CALCULO</t>
  </si>
  <si>
    <t>VOTO CLIENTES</t>
  </si>
  <si>
    <t>CES PONDERADO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</si>
</sst>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2" x14ac:knownFonts="1">
    <font>
      <sz val="11"/>
      <color theme="1"/>
      <name val="Aptos Narrow"/>
      <family val="2"/>
      <charset val="1"/>
    </font>
    <font>
      <u/>
      <sz val="11"/>
      <color theme="10"/>
      <name val="Aptos Narrow"/>
      <family val="2"/>
      <charset val="1"/>
    </font>
    <font>
      <b/>
      <sz val="12"/>
      <color theme="1"/>
      <name val="Calibri"/>
      <charset val="1"/>
    </font>
    <font>
      <b/>
      <sz val="11"/>
      <name val="Calibri"/>
      <charset val="1"/>
    </font>
    <font>
      <b/>
      <sz val="14"/>
      <color theme="1"/>
      <name val="Calibri"/>
      <charset val="1"/>
    </font>
    <font>
      <sz val="11"/>
      <color theme="1"/>
      <name val="Calibri"/>
      <charset val="1"/>
    </font>
    <font>
      <b/>
      <sz val="11"/>
      <color rgb="FF000000"/>
      <name val="Calibri"/>
      <charset val="1"/>
    </font>
    <font>
      <sz val="11"/>
      <color rgb="FF000000"/>
      <name val="Calibri"/>
      <charset val="1"/>
    </font>
    <font>
      <i/>
      <sz val="11"/>
      <color theme="1"/>
      <name val="Calibri"/>
      <charset val="1"/>
    </font>
    <font>
      <i/>
      <sz val="11"/>
      <color rgb="FF777777"/>
      <name val="Calibri"/>
      <charset val="1"/>
    </font>
    <font>
      <b/>
      <i/>
      <sz val="11"/>
      <color rgb="FF777777"/>
      <name val="Calibri"/>
      <charset val="1"/>
    </font>
    <font>
      <sz val="11"/>
      <color rgb="FF777777"/>
      <name val="Calibri"/>
      <charset val="1"/>
    </font>
    <font>
      <b/>
      <sz val="11"/>
      <color theme="1"/>
      <name val="Aptos Narrow"/>
      <family val="2"/>
      <charset val="1"/>
    </font>
    <font>
      <b/>
      <sz val="11"/>
      <color theme="1"/>
      <name val="Segoe UI"/>
      <charset val="1"/>
    </font>
    <font>
      <b/>
      <sz val="11"/>
      <color rgb="FF000000"/>
      <name val="Segoe UI"/>
      <charset val="1"/>
    </font>
    <font>
      <b/>
      <sz val="13.5"/>
      <color theme="1"/>
      <name val="Segoe UI"/>
      <charset val="1"/>
    </font>
    <font>
      <b/>
      <sz val="18"/>
      <color theme="1"/>
      <name val="Segoe UI"/>
      <charset val="1"/>
    </font>
    <font>
      <sz val="11"/>
      <color theme="1"/>
      <name val="Segoe UI"/>
      <charset val="1"/>
    </font>
    <font>
      <b/>
      <sz val="11"/>
      <color theme="1"/>
      <name val="Calibri"/>
      <charset val="1"/>
    </font>
    <font>
      <sz val="8"/>
      <color theme="1"/>
      <name val="Aptos Narrow"/>
      <family val="2"/>
      <charset val="1"/>
    </font>
    <font>
      <b/>
      <sz val="11"/>
      <name val="Calibri"/>
      <family val="2"/>
    </font>
    <font>
      <b/>
      <sz val="12"/>
      <color theme="1"/>
      <name val="Calibri"/>
      <family val="2"/>
    </font>
  </fonts>
  <fills count="25">
    <fill>
      <patternFill patternType="none"/>
    </fill>
    <fill>
      <patternFill patternType="gray125"/>
    </fill>
    <fill>
      <patternFill patternType="solid">
        <fgColor theme="0" tint="-4.9989318521683403E-2"/>
        <bgColor rgb="FFEDEDED"/>
      </patternFill>
    </fill>
    <fill>
      <patternFill patternType="solid">
        <fgColor theme="4" tint="0.59987182226020086"/>
        <bgColor rgb="FFC5D8F1"/>
      </patternFill>
    </fill>
    <fill>
      <patternFill patternType="solid">
        <fgColor theme="3" tint="0.89989928891872917"/>
        <bgColor rgb="FFDCF2FC"/>
      </patternFill>
    </fill>
    <fill>
      <patternFill patternType="solid">
        <fgColor rgb="FFEBF5FF"/>
        <bgColor rgb="FFF2F2F2"/>
      </patternFill>
    </fill>
    <fill>
      <patternFill patternType="solid">
        <fgColor rgb="FFC5D8F1"/>
        <bgColor rgb="FFC1E5F5"/>
      </patternFill>
    </fill>
    <fill>
      <patternFill patternType="solid">
        <fgColor rgb="FF92D050"/>
        <bgColor rgb="FFB4E5A2"/>
      </patternFill>
    </fill>
    <fill>
      <patternFill patternType="solid">
        <fgColor rgb="FFC6EFCE"/>
        <bgColor rgb="FFC1F1C8"/>
      </patternFill>
    </fill>
    <fill>
      <patternFill patternType="solid">
        <fgColor rgb="FFFFC000"/>
        <bgColor rgb="FFF1AB83"/>
      </patternFill>
    </fill>
    <fill>
      <patternFill patternType="solid">
        <fgColor rgb="FFFFE699"/>
        <bgColor rgb="FFFAE3D6"/>
      </patternFill>
    </fill>
    <fill>
      <patternFill patternType="solid">
        <fgColor theme="5" tint="0.39988402966399123"/>
        <bgColor rgb="FFD0D0D0"/>
      </patternFill>
    </fill>
    <fill>
      <patternFill patternType="solid">
        <fgColor theme="5" tint="0.79989013336588644"/>
        <bgColor rgb="FFFAEFE8"/>
      </patternFill>
    </fill>
    <fill>
      <patternFill patternType="solid">
        <fgColor rgb="FFFAEFE8"/>
        <bgColor rgb="FFF2F2F2"/>
      </patternFill>
    </fill>
    <fill>
      <patternFill patternType="solid">
        <fgColor rgb="FFFF0000"/>
        <bgColor rgb="FF993300"/>
      </patternFill>
    </fill>
    <fill>
      <patternFill patternType="solid">
        <fgColor theme="9" tint="0.59987182226020086"/>
        <bgColor rgb="FFC1F1C8"/>
      </patternFill>
    </fill>
    <fill>
      <patternFill patternType="solid">
        <fgColor theme="9" tint="0.79989013336588644"/>
        <bgColor rgb="FFC6EFCE"/>
      </patternFill>
    </fill>
    <fill>
      <patternFill patternType="solid">
        <fgColor rgb="FFEBFCE3"/>
        <bgColor rgb="FFF2F2F2"/>
      </patternFill>
    </fill>
    <fill>
      <patternFill patternType="solid">
        <fgColor rgb="FFEDEDED"/>
        <bgColor rgb="FFF2F2F2"/>
      </patternFill>
    </fill>
    <fill>
      <patternFill patternType="solid">
        <fgColor theme="4" tint="0.79989013336588644"/>
        <bgColor rgb="FFC5D8F1"/>
      </patternFill>
    </fill>
    <fill>
      <patternFill patternType="solid">
        <fgColor rgb="FFDCF2FC"/>
        <bgColor rgb="FFDCEAF7"/>
      </patternFill>
    </fill>
    <fill>
      <patternFill patternType="solid">
        <fgColor rgb="FFFFFF00"/>
        <bgColor rgb="FFFFC000"/>
      </patternFill>
    </fill>
    <fill>
      <patternFill patternType="solid">
        <fgColor theme="6" tint="0.79989013336588644"/>
        <bgColor rgb="FFC6EFCE"/>
      </patternFill>
    </fill>
    <fill>
      <patternFill patternType="solid">
        <fgColor rgb="FFC6EFCE"/>
        <bgColor rgb="FFC6EFCE"/>
      </patternFill>
    </fill>
    <fill>
      <patternFill patternType="solid">
        <fgColor rgb="FFFFE699"/>
        <bgColor rgb="FFFFE699"/>
      </patternFill>
    </fill>
  </fills>
  <borders count="13">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medium">
        <color rgb="FF999999"/>
      </top>
      <bottom style="thin">
        <color rgb="FFD0D0D0"/>
      </bottom>
      <diagonal/>
    </border>
    <border>
      <left style="thin">
        <color rgb="FFD0D0D0"/>
      </left>
      <right style="thin">
        <color rgb="FFD0D0D0"/>
      </right>
      <top style="medium">
        <color rgb="FF999999"/>
      </top>
      <bottom style="medium">
        <color rgb="FF999999"/>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top style="thin">
        <color auto="1"/>
      </top>
      <bottom style="double">
        <color auto="1"/>
      </bottom>
      <diagonal/>
    </border>
    <border>
      <left/>
      <right/>
      <top/>
      <bottom style="double">
        <color auto="1"/>
      </bottom>
      <diagonal/>
    </border>
    <border>
      <left style="thin">
        <color rgb="FFD0D0D0"/>
      </left>
      <right style="thin">
        <color rgb="FFD0D0D0"/>
      </right>
      <top/>
      <bottom/>
      <diagonal/>
    </border>
    <border>
      <left style="thin">
        <color rgb="FFD0D0D0"/>
      </left>
      <right style="thin">
        <color rgb="FFD0D0D0"/>
      </right>
      <top/>
      <bottom style="medium">
        <color rgb="FF999999"/>
      </bottom>
      <diagonal/>
    </border>
    <border>
      <left style="thin">
        <color rgb="FFD0D0D0"/>
      </left>
      <right style="thin">
        <color rgb="FFD0D0D0"/>
      </right>
      <top/>
      <bottom style="thin">
        <color rgb="FFD0D0D0"/>
      </bottom>
      <diagonal/>
    </border>
  </borders>
  <cellStyleXfs count="2">
    <xf numFmtId="0" fontId="0" fillId="0" borderId="0"/>
    <xf numFmtId="0" fontId="1" fillId="0" borderId="0"/>
  </cellStyleXfs>
  <cellXfs count="195">
    <xf numFmtId="0" fontId="0" fillId="0" borderId="0" xfId="0"/>
    <xf numFmtId="0" fontId="0" fillId="0" borderId="0" xfId="0" applyAlignment="1">
      <alignment horizontal="right" textRotation="90"/>
    </xf>
    <xf numFmtId="0" fontId="2" fillId="0" borderId="0" xfId="0" applyFont="1" applyAlignment="1">
      <alignment horizontal="center" vertical="center" textRotation="90"/>
    </xf>
    <xf numFmtId="0" fontId="2" fillId="0" borderId="0" xfId="0" applyFont="1" applyAlignment="1">
      <alignment horizontal="center" vertical="center"/>
    </xf>
    <xf numFmtId="0" fontId="2" fillId="2" borderId="1" xfId="0" applyFont="1" applyFill="1" applyBorder="1" applyAlignment="1">
      <alignment horizontal="center" vertical="center" indent="1"/>
    </xf>
    <xf numFmtId="0" fontId="3" fillId="0" borderId="2" xfId="0" applyFont="1" applyBorder="1" applyAlignment="1">
      <alignment horizontal="center" vertical="center" wrapText="1"/>
    </xf>
    <xf numFmtId="0" fontId="6" fillId="6" borderId="3" xfId="0" applyFont="1" applyFill="1" applyBorder="1" applyAlignment="1">
      <alignment horizontal="center" vertical="top"/>
    </xf>
    <xf numFmtId="0" fontId="7" fillId="6" borderId="3" xfId="0" applyFont="1" applyFill="1" applyBorder="1" applyAlignment="1">
      <alignment horizontal="left" vertical="top" wrapText="1"/>
    </xf>
    <xf numFmtId="164" fontId="7" fillId="6" borderId="3" xfId="0" applyNumberFormat="1" applyFont="1" applyFill="1" applyBorder="1" applyAlignment="1">
      <alignment horizontal="center" vertical="top"/>
    </xf>
    <xf numFmtId="0" fontId="6" fillId="8" borderId="2" xfId="0" applyFont="1" applyFill="1" applyBorder="1" applyAlignment="1">
      <alignment horizontal="center" vertical="top"/>
    </xf>
    <xf numFmtId="0" fontId="7" fillId="8" borderId="2" xfId="0" applyFont="1" applyFill="1" applyBorder="1" applyAlignment="1">
      <alignment horizontal="left" vertical="top" wrapText="1"/>
    </xf>
    <xf numFmtId="164" fontId="7" fillId="8" borderId="2" xfId="0" applyNumberFormat="1" applyFont="1" applyFill="1" applyBorder="1" applyAlignment="1">
      <alignment horizontal="center" vertical="top"/>
    </xf>
    <xf numFmtId="0" fontId="6" fillId="8" borderId="3" xfId="0" applyFont="1" applyFill="1" applyBorder="1" applyAlignment="1">
      <alignment horizontal="center" vertical="top"/>
    </xf>
    <xf numFmtId="0" fontId="7" fillId="8" borderId="3" xfId="0" applyFont="1" applyFill="1" applyBorder="1" applyAlignment="1">
      <alignment horizontal="left" vertical="top" wrapText="1"/>
    </xf>
    <xf numFmtId="164" fontId="7" fillId="8" borderId="3" xfId="0" applyNumberFormat="1" applyFont="1" applyFill="1" applyBorder="1" applyAlignment="1">
      <alignment horizontal="center" vertical="top"/>
    </xf>
    <xf numFmtId="0" fontId="6" fillId="10" borderId="2" xfId="0" applyFont="1" applyFill="1" applyBorder="1" applyAlignment="1">
      <alignment horizontal="center" vertical="top"/>
    </xf>
    <xf numFmtId="0" fontId="7" fillId="10" borderId="2" xfId="0" applyFont="1" applyFill="1" applyBorder="1" applyAlignment="1">
      <alignment horizontal="left" vertical="top" wrapText="1"/>
    </xf>
    <xf numFmtId="164" fontId="7" fillId="10" borderId="2" xfId="0" applyNumberFormat="1" applyFont="1" applyFill="1" applyBorder="1" applyAlignment="1">
      <alignment horizontal="center" vertical="top"/>
    </xf>
    <xf numFmtId="0" fontId="0" fillId="0" borderId="3" xfId="0" applyBorder="1"/>
    <xf numFmtId="0" fontId="2" fillId="16" borderId="3" xfId="0" applyFont="1" applyFill="1" applyBorder="1" applyAlignment="1">
      <alignment horizontal="center" vertical="center"/>
    </xf>
    <xf numFmtId="0" fontId="5" fillId="17" borderId="3" xfId="0" applyFont="1" applyFill="1" applyBorder="1" applyAlignment="1">
      <alignment horizontal="center" vertical="center" indent="1"/>
    </xf>
    <xf numFmtId="0" fontId="5" fillId="17" borderId="3" xfId="0" applyFont="1" applyFill="1" applyBorder="1" applyAlignment="1">
      <alignment horizontal="center" vertical="center" wrapText="1" indent="1"/>
    </xf>
    <xf numFmtId="9" fontId="5" fillId="17" borderId="3" xfId="0" applyNumberFormat="1" applyFont="1" applyFill="1" applyBorder="1" applyAlignment="1">
      <alignment horizontal="center" vertical="center" wrapText="1" indent="1"/>
    </xf>
    <xf numFmtId="0" fontId="6" fillId="6" borderId="2" xfId="0" applyFont="1" applyFill="1" applyBorder="1" applyAlignment="1">
      <alignment horizontal="center" vertical="top"/>
    </xf>
    <xf numFmtId="0" fontId="7" fillId="6" borderId="2" xfId="0" applyFont="1" applyFill="1" applyBorder="1" applyAlignment="1">
      <alignment horizontal="left" vertical="top" wrapText="1"/>
    </xf>
    <xf numFmtId="164" fontId="7" fillId="6" borderId="2" xfId="0" applyNumberFormat="1" applyFont="1" applyFill="1" applyBorder="1" applyAlignment="1">
      <alignment horizontal="center" vertical="top"/>
    </xf>
    <xf numFmtId="0" fontId="9" fillId="18" borderId="2" xfId="0" applyFont="1" applyFill="1" applyBorder="1" applyAlignment="1">
      <alignment horizontal="center" vertical="top"/>
    </xf>
    <xf numFmtId="0" fontId="9" fillId="18" borderId="2" xfId="0" applyFont="1" applyFill="1" applyBorder="1" applyAlignment="1">
      <alignment horizontal="left" vertical="top" wrapText="1"/>
    </xf>
    <xf numFmtId="0" fontId="10" fillId="18" borderId="2" xfId="0" applyFont="1" applyFill="1" applyBorder="1" applyAlignment="1">
      <alignment horizontal="center" vertical="top"/>
    </xf>
    <xf numFmtId="164" fontId="11" fillId="18" borderId="2" xfId="0" applyNumberFormat="1" applyFont="1" applyFill="1" applyBorder="1" applyAlignment="1">
      <alignment horizontal="center" vertical="top"/>
    </xf>
    <xf numFmtId="0" fontId="6" fillId="10" borderId="3" xfId="0" applyFont="1" applyFill="1" applyBorder="1" applyAlignment="1">
      <alignment horizontal="center" vertical="top"/>
    </xf>
    <xf numFmtId="0" fontId="7" fillId="10" borderId="3" xfId="0" applyFont="1" applyFill="1" applyBorder="1" applyAlignment="1">
      <alignment horizontal="left" vertical="top" wrapText="1"/>
    </xf>
    <xf numFmtId="164" fontId="7" fillId="10" borderId="3" xfId="0" applyNumberFormat="1" applyFont="1" applyFill="1" applyBorder="1" applyAlignment="1">
      <alignment horizontal="center" vertical="top"/>
    </xf>
    <xf numFmtId="0" fontId="0" fillId="0" borderId="0" xfId="0" applyAlignment="1">
      <alignment horizontal="left"/>
    </xf>
    <xf numFmtId="0" fontId="0" fillId="0" borderId="0" xfId="0" applyAlignment="1">
      <alignment horizontal="center"/>
    </xf>
    <xf numFmtId="0" fontId="12" fillId="21" borderId="0" xfId="0" applyFont="1" applyFill="1" applyAlignment="1">
      <alignment horizontal="center"/>
    </xf>
    <xf numFmtId="0" fontId="13" fillId="0" borderId="0" xfId="0" applyFont="1" applyAlignment="1">
      <alignment horizontal="left"/>
    </xf>
    <xf numFmtId="0" fontId="14" fillId="0" borderId="0" xfId="0" applyFont="1"/>
    <xf numFmtId="0" fontId="13" fillId="0" borderId="0" xfId="0" applyFont="1"/>
    <xf numFmtId="0" fontId="15" fillId="0" borderId="0" xfId="0" applyFont="1"/>
    <xf numFmtId="0" fontId="16" fillId="0" borderId="0" xfId="0" applyFont="1"/>
    <xf numFmtId="0" fontId="17" fillId="0" borderId="0" xfId="0" applyFont="1"/>
    <xf numFmtId="0" fontId="5" fillId="0" borderId="0" xfId="0" applyFont="1"/>
    <xf numFmtId="0" fontId="5" fillId="0" borderId="0" xfId="0" applyFont="1" applyAlignment="1">
      <alignment horizontal="center" indent="1"/>
    </xf>
    <xf numFmtId="0" fontId="2" fillId="4" borderId="6" xfId="0" applyFont="1" applyFill="1" applyBorder="1" applyAlignment="1">
      <alignment horizontal="center" vertical="center"/>
    </xf>
    <xf numFmtId="0" fontId="5" fillId="5" borderId="6" xfId="0" applyFont="1" applyFill="1" applyBorder="1" applyAlignment="1">
      <alignment horizontal="center" vertical="center" wrapText="1" indent="1"/>
    </xf>
    <xf numFmtId="9" fontId="5" fillId="5" borderId="6" xfId="0" applyNumberFormat="1" applyFont="1" applyFill="1" applyBorder="1" applyAlignment="1">
      <alignment horizontal="center" vertical="center" wrapText="1" indent="1"/>
    </xf>
    <xf numFmtId="0" fontId="5" fillId="7" borderId="6" xfId="0" applyFont="1" applyFill="1" applyBorder="1" applyAlignment="1">
      <alignment horizontal="center" vertical="center" wrapText="1" indent="1"/>
    </xf>
    <xf numFmtId="0" fontId="2" fillId="4" borderId="0" xfId="0" applyFont="1" applyFill="1" applyAlignment="1">
      <alignment horizontal="center" vertical="center"/>
    </xf>
    <xf numFmtId="0" fontId="5" fillId="5" borderId="0" xfId="0" applyFont="1" applyFill="1" applyAlignment="1">
      <alignment horizontal="center" vertical="center" indent="1"/>
    </xf>
    <xf numFmtId="0" fontId="5" fillId="5" borderId="0" xfId="0" applyFont="1" applyFill="1" applyAlignment="1">
      <alignment horizontal="center" vertical="center" wrapText="1" indent="1"/>
    </xf>
    <xf numFmtId="0" fontId="2" fillId="4" borderId="5" xfId="0" applyFont="1" applyFill="1" applyBorder="1" applyAlignment="1">
      <alignment horizontal="center" vertical="center" wrapText="1"/>
    </xf>
    <xf numFmtId="0" fontId="5" fillId="5" borderId="5" xfId="0" applyFont="1" applyFill="1" applyBorder="1" applyAlignment="1">
      <alignment horizontal="center" vertical="center" wrapText="1" indent="1"/>
    </xf>
    <xf numFmtId="0" fontId="5" fillId="9" borderId="0" xfId="0" applyFont="1" applyFill="1" applyAlignment="1">
      <alignment horizontal="center" vertical="center" wrapText="1" indent="1"/>
    </xf>
    <xf numFmtId="0" fontId="8" fillId="5" borderId="0" xfId="0" applyFont="1" applyFill="1" applyAlignment="1">
      <alignment horizontal="center" vertical="center" wrapText="1" indent="1"/>
    </xf>
    <xf numFmtId="0" fontId="5" fillId="0" borderId="6" xfId="0" applyFont="1" applyBorder="1"/>
    <xf numFmtId="0" fontId="2" fillId="12" borderId="7" xfId="0" applyFont="1" applyFill="1" applyBorder="1" applyAlignment="1">
      <alignment horizontal="center" vertical="center"/>
    </xf>
    <xf numFmtId="0" fontId="5" fillId="13" borderId="7" xfId="0" applyFont="1" applyFill="1" applyBorder="1" applyAlignment="1">
      <alignment horizontal="center" vertical="center" wrapText="1" indent="1"/>
    </xf>
    <xf numFmtId="9" fontId="5" fillId="13" borderId="7" xfId="0" applyNumberFormat="1" applyFont="1" applyFill="1" applyBorder="1" applyAlignment="1">
      <alignment horizontal="center" vertical="center" wrapText="1" indent="1"/>
    </xf>
    <xf numFmtId="0" fontId="5" fillId="14" borderId="7" xfId="0" applyFont="1" applyFill="1" applyBorder="1" applyAlignment="1">
      <alignment horizontal="center" vertical="center" wrapText="1" indent="1"/>
    </xf>
    <xf numFmtId="0" fontId="2" fillId="12" borderId="6" xfId="0" applyFont="1" applyFill="1" applyBorder="1" applyAlignment="1">
      <alignment horizontal="center" vertical="center"/>
    </xf>
    <xf numFmtId="0" fontId="5" fillId="13" borderId="6" xfId="0" applyFont="1" applyFill="1" applyBorder="1" applyAlignment="1">
      <alignment horizontal="center" vertical="center" wrapText="1" indent="1"/>
    </xf>
    <xf numFmtId="0" fontId="2" fillId="16" borderId="7" xfId="0" applyFont="1" applyFill="1" applyBorder="1" applyAlignment="1">
      <alignment horizontal="center" vertical="center"/>
    </xf>
    <xf numFmtId="0" fontId="5" fillId="17" borderId="6" xfId="0" applyFont="1" applyFill="1" applyBorder="1" applyAlignment="1">
      <alignment horizontal="center" vertical="center" indent="1"/>
    </xf>
    <xf numFmtId="0" fontId="5" fillId="17" borderId="6" xfId="0" applyFont="1" applyFill="1" applyBorder="1" applyAlignment="1">
      <alignment horizontal="center" vertical="center" wrapText="1" indent="1"/>
    </xf>
    <xf numFmtId="9" fontId="5" fillId="17" borderId="6" xfId="0" applyNumberFormat="1" applyFont="1" applyFill="1" applyBorder="1" applyAlignment="1">
      <alignment horizontal="center" vertical="center" wrapText="1" indent="1"/>
    </xf>
    <xf numFmtId="0" fontId="2" fillId="16" borderId="0" xfId="0" applyFont="1" applyFill="1" applyAlignment="1">
      <alignment horizontal="center" vertical="center"/>
    </xf>
    <xf numFmtId="0" fontId="5" fillId="17" borderId="0" xfId="0" applyFont="1" applyFill="1" applyAlignment="1">
      <alignment horizontal="center" vertical="center" indent="1"/>
    </xf>
    <xf numFmtId="0" fontId="5" fillId="17" borderId="0" xfId="0" applyFont="1" applyFill="1" applyAlignment="1">
      <alignment horizontal="center" vertical="center" wrapText="1" indent="1"/>
    </xf>
    <xf numFmtId="9" fontId="5" fillId="17" borderId="0" xfId="0" applyNumberFormat="1" applyFont="1" applyFill="1" applyAlignment="1">
      <alignment horizontal="center" vertical="center" wrapText="1" indent="1"/>
    </xf>
    <xf numFmtId="0" fontId="5" fillId="17" borderId="5" xfId="0" applyFont="1" applyFill="1" applyBorder="1" applyAlignment="1">
      <alignment horizontal="center" vertical="center" indent="1"/>
    </xf>
    <xf numFmtId="0" fontId="5" fillId="17" borderId="5" xfId="0" applyFont="1" applyFill="1" applyBorder="1" applyAlignment="1">
      <alignment horizontal="center" vertical="center" wrapText="1" indent="1"/>
    </xf>
    <xf numFmtId="0" fontId="5" fillId="17" borderId="7" xfId="0" applyFont="1" applyFill="1" applyBorder="1" applyAlignment="1">
      <alignment horizontal="center" vertical="center" wrapText="1" indent="1"/>
    </xf>
    <xf numFmtId="9" fontId="5" fillId="17" borderId="7" xfId="0" applyNumberFormat="1" applyFont="1" applyFill="1" applyBorder="1" applyAlignment="1">
      <alignment horizontal="center" vertical="center" wrapText="1" indent="1"/>
    </xf>
    <xf numFmtId="0" fontId="2" fillId="16" borderId="8" xfId="0" applyFont="1" applyFill="1" applyBorder="1" applyAlignment="1">
      <alignment horizontal="center" vertical="center"/>
    </xf>
    <xf numFmtId="0" fontId="5" fillId="17" borderId="8" xfId="0" applyFont="1" applyFill="1" applyBorder="1" applyAlignment="1">
      <alignment horizontal="center" vertical="center" indent="1"/>
    </xf>
    <xf numFmtId="0" fontId="5" fillId="17" borderId="8" xfId="0" applyFont="1" applyFill="1" applyBorder="1" applyAlignment="1">
      <alignment horizontal="center" vertical="center" wrapText="1" indent="1"/>
    </xf>
    <xf numFmtId="9" fontId="5" fillId="17" borderId="9" xfId="0" applyNumberFormat="1" applyFont="1" applyFill="1" applyBorder="1" applyAlignment="1">
      <alignment horizontal="center" vertical="center" wrapText="1" indent="1"/>
    </xf>
    <xf numFmtId="0" fontId="5" fillId="17" borderId="9" xfId="0" applyFont="1" applyFill="1" applyBorder="1" applyAlignment="1">
      <alignment horizontal="center" vertical="center" wrapText="1" indent="1"/>
    </xf>
    <xf numFmtId="0" fontId="2" fillId="19" borderId="5" xfId="0" applyFont="1" applyFill="1" applyBorder="1" applyAlignment="1">
      <alignment horizontal="center" vertical="center"/>
    </xf>
    <xf numFmtId="0" fontId="5" fillId="20" borderId="0" xfId="0" applyFont="1" applyFill="1" applyAlignment="1">
      <alignment horizontal="center" vertical="center" indent="1"/>
    </xf>
    <xf numFmtId="0" fontId="5" fillId="20" borderId="0" xfId="0" applyFont="1" applyFill="1" applyAlignment="1">
      <alignment horizontal="center" vertical="center" wrapText="1" indent="1"/>
    </xf>
    <xf numFmtId="0" fontId="5" fillId="20" borderId="6" xfId="0" applyFont="1" applyFill="1" applyBorder="1" applyAlignment="1">
      <alignment horizontal="center" vertical="center" wrapText="1" indent="1"/>
    </xf>
    <xf numFmtId="9" fontId="5" fillId="20" borderId="6" xfId="0" applyNumberFormat="1" applyFont="1" applyFill="1" applyBorder="1" applyAlignment="1">
      <alignment horizontal="center" vertical="center" wrapText="1" indent="1"/>
    </xf>
    <xf numFmtId="0" fontId="5" fillId="20" borderId="5" xfId="0" applyFont="1" applyFill="1" applyBorder="1" applyAlignment="1">
      <alignment horizontal="center" vertical="center" wrapText="1" indent="1"/>
    </xf>
    <xf numFmtId="0" fontId="5" fillId="20" borderId="5" xfId="0" applyFont="1" applyFill="1" applyBorder="1" applyAlignment="1">
      <alignment horizontal="center" vertical="center" indent="1"/>
    </xf>
    <xf numFmtId="9" fontId="5" fillId="20" borderId="0" xfId="0" applyNumberFormat="1" applyFont="1" applyFill="1" applyAlignment="1">
      <alignment horizontal="center" vertical="center" wrapText="1" indent="1"/>
    </xf>
    <xf numFmtId="0" fontId="5" fillId="0" borderId="7" xfId="0" applyFont="1" applyBorder="1"/>
    <xf numFmtId="0" fontId="2" fillId="19" borderId="7" xfId="0" applyFont="1" applyFill="1" applyBorder="1" applyAlignment="1">
      <alignment horizontal="center" vertical="center"/>
    </xf>
    <xf numFmtId="0" fontId="5" fillId="20" borderId="7" xfId="0" applyFont="1" applyFill="1" applyBorder="1" applyAlignment="1">
      <alignment horizontal="center" vertical="center" indent="1"/>
    </xf>
    <xf numFmtId="0" fontId="5" fillId="20" borderId="7" xfId="0" applyFont="1" applyFill="1" applyBorder="1" applyAlignment="1">
      <alignment horizontal="center" vertical="center" wrapText="1" indent="1"/>
    </xf>
    <xf numFmtId="9" fontId="5" fillId="20" borderId="7" xfId="0" applyNumberFormat="1" applyFont="1" applyFill="1" applyBorder="1" applyAlignment="1">
      <alignment horizontal="center" vertical="center" wrapText="1" indent="1"/>
    </xf>
    <xf numFmtId="0" fontId="2" fillId="12" borderId="0" xfId="0" applyFont="1" applyFill="1" applyAlignment="1">
      <alignment horizontal="center" vertical="center"/>
    </xf>
    <xf numFmtId="0" fontId="5" fillId="13" borderId="0" xfId="0" applyFont="1" applyFill="1" applyAlignment="1">
      <alignment horizontal="center" vertical="center" indent="1"/>
    </xf>
    <xf numFmtId="0" fontId="5" fillId="13" borderId="0" xfId="0" applyFont="1" applyFill="1" applyAlignment="1">
      <alignment horizontal="center" vertical="center" wrapText="1" indent="1"/>
    </xf>
    <xf numFmtId="9" fontId="5" fillId="13" borderId="6" xfId="0" applyNumberFormat="1" applyFont="1" applyFill="1" applyBorder="1" applyAlignment="1">
      <alignment horizontal="center" vertical="center" wrapText="1" indent="1"/>
    </xf>
    <xf numFmtId="0" fontId="2" fillId="12" borderId="5" xfId="0" applyFont="1" applyFill="1" applyBorder="1" applyAlignment="1">
      <alignment horizontal="center" vertical="center"/>
    </xf>
    <xf numFmtId="0" fontId="5" fillId="13" borderId="5" xfId="0" applyFont="1" applyFill="1" applyBorder="1" applyAlignment="1">
      <alignment horizontal="center" vertical="center" indent="1"/>
    </xf>
    <xf numFmtId="0" fontId="5" fillId="13" borderId="5" xfId="0" applyFont="1" applyFill="1" applyBorder="1" applyAlignment="1">
      <alignment horizontal="center" vertical="center" wrapText="1" indent="1"/>
    </xf>
    <xf numFmtId="9" fontId="5" fillId="13" borderId="0" xfId="0" applyNumberFormat="1" applyFont="1" applyFill="1" applyAlignment="1">
      <alignment horizontal="center" vertical="center" wrapText="1" indent="1"/>
    </xf>
    <xf numFmtId="0" fontId="7" fillId="13" borderId="6" xfId="0" applyFont="1" applyFill="1" applyBorder="1" applyAlignment="1">
      <alignment horizontal="center" vertical="center" wrapText="1" indent="1"/>
    </xf>
    <xf numFmtId="9" fontId="5" fillId="13" borderId="5" xfId="0" applyNumberFormat="1" applyFont="1" applyFill="1" applyBorder="1" applyAlignment="1">
      <alignment horizontal="center" vertical="center" wrapText="1" indent="1"/>
    </xf>
    <xf numFmtId="0" fontId="7" fillId="13" borderId="7" xfId="0" applyFont="1" applyFill="1" applyBorder="1" applyAlignment="1">
      <alignment horizontal="center" vertical="center" wrapText="1" indent="1"/>
    </xf>
    <xf numFmtId="0" fontId="5" fillId="13" borderId="7" xfId="0" applyFont="1" applyFill="1" applyBorder="1" applyAlignment="1">
      <alignment horizontal="center" vertical="center"/>
    </xf>
    <xf numFmtId="0" fontId="5" fillId="13" borderId="7" xfId="0" applyFont="1" applyFill="1" applyBorder="1" applyAlignment="1">
      <alignment horizontal="center" vertical="center" wrapText="1"/>
    </xf>
    <xf numFmtId="9" fontId="5" fillId="13" borderId="7" xfId="0" applyNumberFormat="1" applyFont="1" applyFill="1" applyBorder="1" applyAlignment="1">
      <alignment horizontal="center" vertical="center" wrapText="1"/>
    </xf>
    <xf numFmtId="0" fontId="5" fillId="13" borderId="6" xfId="0" applyFont="1" applyFill="1" applyBorder="1" applyAlignment="1">
      <alignment horizontal="center" vertical="center" indent="1"/>
    </xf>
    <xf numFmtId="0" fontId="5" fillId="13" borderId="6" xfId="0" applyFont="1" applyFill="1" applyBorder="1" applyAlignment="1">
      <alignment horizontal="center" vertical="center" wrapText="1"/>
    </xf>
    <xf numFmtId="0" fontId="2" fillId="16" borderId="6" xfId="0" applyFont="1" applyFill="1" applyBorder="1" applyAlignment="1">
      <alignment horizontal="center" vertical="center"/>
    </xf>
    <xf numFmtId="0" fontId="7" fillId="17" borderId="6" xfId="0" applyFont="1" applyFill="1" applyBorder="1" applyAlignment="1">
      <alignment horizontal="center" vertical="center" wrapText="1" indent="1"/>
    </xf>
    <xf numFmtId="0" fontId="18" fillId="0" borderId="0" xfId="0" applyFont="1" applyAlignment="1">
      <alignment horizontal="center" indent="1"/>
    </xf>
    <xf numFmtId="0" fontId="18" fillId="0" borderId="0" xfId="0" applyFont="1" applyAlignment="1">
      <alignment horizontal="left" indent="1"/>
    </xf>
    <xf numFmtId="0" fontId="12" fillId="0" borderId="0" xfId="0" applyFont="1"/>
    <xf numFmtId="0" fontId="0" fillId="0" borderId="0" xfId="0" applyAlignment="1">
      <alignment horizontal="right"/>
    </xf>
    <xf numFmtId="0" fontId="12" fillId="0" borderId="0" xfId="0" applyFont="1" applyAlignment="1">
      <alignment horizontal="right"/>
    </xf>
    <xf numFmtId="0" fontId="12" fillId="21" borderId="6" xfId="0" applyFont="1" applyFill="1" applyBorder="1" applyAlignment="1">
      <alignment horizontal="center"/>
    </xf>
    <xf numFmtId="0" fontId="19" fillId="0" borderId="6" xfId="0" applyFont="1" applyBorder="1" applyAlignment="1">
      <alignment horizontal="center" vertical="center"/>
    </xf>
    <xf numFmtId="0" fontId="12" fillId="0" borderId="0" xfId="0" applyFont="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2" fontId="12" fillId="22" borderId="5" xfId="0" applyNumberFormat="1" applyFont="1" applyFill="1" applyBorder="1" applyAlignment="1">
      <alignment horizontal="center"/>
    </xf>
    <xf numFmtId="10" fontId="7" fillId="6" borderId="3" xfId="0" applyNumberFormat="1" applyFont="1" applyFill="1" applyBorder="1" applyAlignment="1">
      <alignment horizontal="center" vertical="top"/>
    </xf>
    <xf numFmtId="10" fontId="7" fillId="8" borderId="2" xfId="0" applyNumberFormat="1" applyFont="1" applyFill="1" applyBorder="1" applyAlignment="1">
      <alignment horizontal="center" vertical="top"/>
    </xf>
    <xf numFmtId="10" fontId="7" fillId="8" borderId="3" xfId="0" applyNumberFormat="1" applyFont="1" applyFill="1" applyBorder="1" applyAlignment="1">
      <alignment horizontal="center" vertical="top"/>
    </xf>
    <xf numFmtId="10" fontId="7" fillId="10" borderId="2" xfId="0" applyNumberFormat="1" applyFont="1" applyFill="1" applyBorder="1" applyAlignment="1">
      <alignment horizontal="center" vertical="top"/>
    </xf>
    <xf numFmtId="10" fontId="7" fillId="6" borderId="2" xfId="0" applyNumberFormat="1" applyFont="1" applyFill="1" applyBorder="1" applyAlignment="1">
      <alignment horizontal="center" vertical="top"/>
    </xf>
    <xf numFmtId="0" fontId="20" fillId="0" borderId="2" xfId="0" applyFont="1" applyBorder="1" applyAlignment="1">
      <alignment horizontal="center" vertical="center" wrapText="1"/>
    </xf>
    <xf numFmtId="10" fontId="11" fillId="18" borderId="2" xfId="0" applyNumberFormat="1" applyFont="1" applyFill="1" applyBorder="1" applyAlignment="1">
      <alignment horizontal="center" vertical="top"/>
    </xf>
    <xf numFmtId="10" fontId="7" fillId="10" borderId="3" xfId="0" applyNumberFormat="1" applyFont="1" applyFill="1" applyBorder="1" applyAlignment="1">
      <alignment horizontal="center" vertical="top"/>
    </xf>
    <xf numFmtId="10" fontId="0" fillId="0" borderId="0" xfId="0" applyNumberFormat="1"/>
    <xf numFmtId="0" fontId="21" fillId="0" borderId="0" xfId="0" applyFont="1" applyAlignment="1">
      <alignment horizontal="center" vertical="center"/>
    </xf>
    <xf numFmtId="0" fontId="21" fillId="16" borderId="3" xfId="0" applyFont="1" applyFill="1" applyBorder="1" applyAlignment="1">
      <alignment horizontal="center" vertical="center"/>
    </xf>
    <xf numFmtId="0" fontId="6" fillId="23" borderId="3" xfId="0" applyFont="1" applyFill="1" applyBorder="1" applyAlignment="1">
      <alignment horizontal="center" vertical="top"/>
    </xf>
    <xf numFmtId="0" fontId="7" fillId="23" borderId="3" xfId="0" applyFont="1" applyFill="1" applyBorder="1" applyAlignment="1">
      <alignment horizontal="left" vertical="top" wrapText="1"/>
    </xf>
    <xf numFmtId="10" fontId="7" fillId="23" borderId="3" xfId="0" applyNumberFormat="1" applyFont="1" applyFill="1" applyBorder="1" applyAlignment="1">
      <alignment horizontal="center" vertical="top"/>
    </xf>
    <xf numFmtId="164" fontId="7" fillId="23" borderId="3" xfId="0" applyNumberFormat="1" applyFont="1" applyFill="1" applyBorder="1" applyAlignment="1">
      <alignment horizontal="center" vertical="top"/>
    </xf>
    <xf numFmtId="0" fontId="6" fillId="23" borderId="2" xfId="0" applyFont="1" applyFill="1" applyBorder="1" applyAlignment="1">
      <alignment horizontal="center" vertical="top"/>
    </xf>
    <xf numFmtId="0" fontId="7" fillId="23" borderId="2" xfId="0" applyFont="1" applyFill="1" applyBorder="1" applyAlignment="1">
      <alignment horizontal="left" vertical="top" wrapText="1"/>
    </xf>
    <xf numFmtId="10" fontId="7" fillId="23" borderId="2" xfId="0" applyNumberFormat="1" applyFont="1" applyFill="1" applyBorder="1" applyAlignment="1">
      <alignment horizontal="center" vertical="top"/>
    </xf>
    <xf numFmtId="164" fontId="7" fillId="23" borderId="2" xfId="0" applyNumberFormat="1" applyFont="1" applyFill="1" applyBorder="1" applyAlignment="1">
      <alignment horizontal="center" vertical="top"/>
    </xf>
    <xf numFmtId="0" fontId="6" fillId="24" borderId="2" xfId="0" applyFont="1" applyFill="1" applyBorder="1" applyAlignment="1">
      <alignment horizontal="center" vertical="top"/>
    </xf>
    <xf numFmtId="0" fontId="7" fillId="24" borderId="2" xfId="0" applyFont="1" applyFill="1" applyBorder="1" applyAlignment="1">
      <alignment horizontal="left" vertical="top" wrapText="1"/>
    </xf>
    <xf numFmtId="10" fontId="7" fillId="24" borderId="2" xfId="0" applyNumberFormat="1" applyFont="1" applyFill="1" applyBorder="1" applyAlignment="1">
      <alignment horizontal="center" vertical="top"/>
    </xf>
    <xf numFmtId="164" fontId="7" fillId="24" borderId="2" xfId="0" applyNumberFormat="1" applyFont="1" applyFill="1" applyBorder="1" applyAlignment="1">
      <alignment horizontal="center" vertical="top"/>
    </xf>
    <xf numFmtId="0" fontId="5" fillId="17" borderId="3" xfId="0" applyFont="1" applyFill="1" applyBorder="1" applyAlignment="1">
      <alignment horizontal="left" vertical="center" wrapText="1"/>
    </xf>
    <xf numFmtId="0" fontId="0" fillId="0" borderId="10" xfId="0" applyBorder="1"/>
    <xf numFmtId="0" fontId="0" fillId="0" borderId="12" xfId="0" applyBorder="1"/>
    <xf numFmtId="0" fontId="5" fillId="13" borderId="3" xfId="0" applyFont="1" applyFill="1" applyBorder="1" applyAlignment="1">
      <alignment horizontal="left" vertical="center" wrapText="1"/>
    </xf>
    <xf numFmtId="0" fontId="0" fillId="0" borderId="3" xfId="0" applyBorder="1" applyAlignment="1">
      <alignment horizontal="left" vertical="center" wrapText="1"/>
    </xf>
    <xf numFmtId="0" fontId="5" fillId="20" borderId="3" xfId="0" applyFont="1" applyFill="1" applyBorder="1" applyAlignment="1">
      <alignment horizontal="center" vertical="center" wrapText="1"/>
    </xf>
    <xf numFmtId="0" fontId="5" fillId="5" borderId="3" xfId="0" applyFont="1" applyFill="1" applyBorder="1" applyAlignment="1">
      <alignment horizontal="left" vertical="center" wrapText="1"/>
    </xf>
    <xf numFmtId="0" fontId="5" fillId="17" borderId="3" xfId="0" applyFont="1" applyFill="1" applyBorder="1" applyAlignment="1">
      <alignment horizontal="center" vertical="center" wrapText="1"/>
    </xf>
    <xf numFmtId="0" fontId="4" fillId="15" borderId="4" xfId="0" applyFont="1" applyFill="1" applyBorder="1" applyAlignment="1">
      <alignment horizontal="center" vertical="center" textRotation="90" wrapText="1"/>
    </xf>
    <xf numFmtId="0" fontId="0" fillId="0" borderId="11" xfId="0" applyBorder="1"/>
    <xf numFmtId="0" fontId="2" fillId="16" borderId="3" xfId="0" applyFont="1" applyFill="1" applyBorder="1" applyAlignment="1">
      <alignment horizontal="center" vertical="center" wrapText="1"/>
    </xf>
    <xf numFmtId="0" fontId="5" fillId="20" borderId="3" xfId="0" applyFont="1" applyFill="1" applyBorder="1" applyAlignment="1">
      <alignment horizontal="left" vertical="center" wrapText="1"/>
    </xf>
    <xf numFmtId="0" fontId="21" fillId="19" borderId="4" xfId="0" applyFont="1" applyFill="1" applyBorder="1" applyAlignment="1">
      <alignment horizontal="center" vertical="center" wrapText="1"/>
    </xf>
    <xf numFmtId="9" fontId="5" fillId="17" borderId="3" xfId="0" applyNumberFormat="1" applyFont="1" applyFill="1" applyBorder="1" applyAlignment="1">
      <alignment horizontal="center" vertical="center" wrapText="1"/>
    </xf>
    <xf numFmtId="0" fontId="21" fillId="16" borderId="3" xfId="0" applyFont="1" applyFill="1" applyBorder="1" applyAlignment="1">
      <alignment horizontal="center" vertical="center" wrapText="1"/>
    </xf>
    <xf numFmtId="0" fontId="5" fillId="13" borderId="3" xfId="0" applyFont="1" applyFill="1" applyBorder="1" applyAlignment="1">
      <alignment horizontal="center" vertical="center" wrapText="1"/>
    </xf>
    <xf numFmtId="9" fontId="5" fillId="20" borderId="3" xfId="0" applyNumberFormat="1" applyFont="1" applyFill="1" applyBorder="1" applyAlignment="1">
      <alignment horizontal="center" vertical="center" wrapText="1"/>
    </xf>
    <xf numFmtId="9" fontId="5" fillId="13" borderId="3" xfId="0" applyNumberFormat="1"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1" fillId="4" borderId="4" xfId="0" applyFont="1" applyFill="1" applyBorder="1" applyAlignment="1">
      <alignment horizontal="center" vertical="center" wrapText="1"/>
    </xf>
    <xf numFmtId="0" fontId="21" fillId="12"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4" fillId="11" borderId="4" xfId="0" applyFont="1" applyFill="1" applyBorder="1" applyAlignment="1">
      <alignment horizontal="center" vertical="center" textRotation="90" wrapText="1"/>
    </xf>
    <xf numFmtId="0" fontId="21" fillId="12" borderId="4" xfId="0" applyFont="1" applyFill="1" applyBorder="1" applyAlignment="1">
      <alignment horizontal="center" vertical="center" wrapText="1"/>
    </xf>
    <xf numFmtId="0" fontId="4" fillId="11" borderId="3" xfId="0" applyFont="1" applyFill="1" applyBorder="1" applyAlignment="1">
      <alignment horizontal="center" vertical="center" textRotation="90" wrapText="1"/>
    </xf>
    <xf numFmtId="0" fontId="2" fillId="4" borderId="4" xfId="0" applyFont="1" applyFill="1" applyBorder="1" applyAlignment="1">
      <alignment horizontal="center" vertical="center" wrapText="1"/>
    </xf>
    <xf numFmtId="0" fontId="5" fillId="9" borderId="3" xfId="0" applyFont="1" applyFill="1" applyBorder="1" applyAlignment="1">
      <alignment horizontal="center" vertical="center" wrapText="1"/>
    </xf>
    <xf numFmtId="9" fontId="5" fillId="5" borderId="3" xfId="0" applyNumberFormat="1" applyFont="1" applyFill="1" applyBorder="1" applyAlignment="1">
      <alignment horizontal="center" vertical="center" wrapText="1"/>
    </xf>
    <xf numFmtId="0" fontId="5" fillId="14" borderId="3" xfId="0" applyFont="1" applyFill="1" applyBorder="1" applyAlignment="1">
      <alignment horizontal="center" vertical="center" wrapText="1"/>
    </xf>
    <xf numFmtId="0" fontId="4" fillId="3" borderId="4" xfId="0" applyFont="1" applyFill="1" applyBorder="1" applyAlignment="1">
      <alignment horizontal="center" vertical="center" textRotation="90" wrapText="1"/>
    </xf>
    <xf numFmtId="0" fontId="5" fillId="7" borderId="3" xfId="0" applyFont="1" applyFill="1" applyBorder="1" applyAlignment="1">
      <alignment horizontal="center" vertical="center" wrapText="1"/>
    </xf>
    <xf numFmtId="0" fontId="2" fillId="19" borderId="3" xfId="0" applyFont="1" applyFill="1" applyBorder="1" applyAlignment="1">
      <alignment horizontal="center" vertical="center" wrapText="1"/>
    </xf>
    <xf numFmtId="0" fontId="21" fillId="16" borderId="4" xfId="0" applyFont="1" applyFill="1" applyBorder="1" applyAlignment="1">
      <alignment horizontal="center" vertical="center" wrapText="1"/>
    </xf>
    <xf numFmtId="0" fontId="4" fillId="15" borderId="8" xfId="0" applyFont="1" applyFill="1" applyBorder="1" applyAlignment="1">
      <alignment horizontal="center" vertical="center" textRotation="90" wrapText="1"/>
    </xf>
    <xf numFmtId="0" fontId="5" fillId="0" borderId="0" xfId="0" applyFont="1"/>
    <xf numFmtId="0" fontId="0" fillId="0" borderId="9" xfId="0" applyBorder="1"/>
    <xf numFmtId="0" fontId="4" fillId="11" borderId="7" xfId="0" applyFont="1" applyFill="1" applyBorder="1" applyAlignment="1">
      <alignment horizontal="center" vertical="center" textRotation="90" wrapText="1"/>
    </xf>
    <xf numFmtId="0" fontId="5" fillId="0" borderId="6" xfId="0" applyFont="1" applyBorder="1"/>
    <xf numFmtId="0" fontId="0" fillId="0" borderId="6" xfId="0" applyBorder="1"/>
    <xf numFmtId="0" fontId="4" fillId="3" borderId="5" xfId="0" applyFont="1" applyFill="1" applyBorder="1" applyAlignment="1">
      <alignment horizontal="center" vertical="center" textRotation="90" wrapText="1"/>
    </xf>
    <xf numFmtId="0" fontId="4" fillId="11" borderId="5" xfId="0" applyFont="1" applyFill="1" applyBorder="1" applyAlignment="1">
      <alignment horizontal="center" vertical="center" textRotation="90" wrapText="1"/>
    </xf>
    <xf numFmtId="0" fontId="4" fillId="11" borderId="6" xfId="0" applyFont="1" applyFill="1" applyBorder="1" applyAlignment="1">
      <alignment horizontal="center" vertical="center" textRotation="90" wrapText="1"/>
    </xf>
    <xf numFmtId="0" fontId="4" fillId="3" borderId="7" xfId="0" applyFont="1" applyFill="1" applyBorder="1" applyAlignment="1">
      <alignment horizontal="center" vertical="center" textRotation="90" wrapText="1"/>
    </xf>
    <xf numFmtId="0" fontId="4" fillId="15" borderId="6" xfId="0" applyFont="1" applyFill="1" applyBorder="1" applyAlignment="1">
      <alignment horizontal="center" vertical="center" textRotation="90" wrapText="1"/>
    </xf>
    <xf numFmtId="0" fontId="0" fillId="0" borderId="0" xfId="0" applyAlignment="1">
      <alignment horizontal="center" wrapText="1"/>
    </xf>
    <xf numFmtId="0" fontId="0" fillId="0" borderId="0" xfId="0" applyAlignment="1">
      <alignment horizontal="center"/>
    </xf>
    <xf numFmtId="0" fontId="0" fillId="0" borderId="0" xfId="0"/>
    <xf numFmtId="0" fontId="12" fillId="0" borderId="0" xfId="0" applyFont="1" applyAlignment="1">
      <alignment horizontal="center" vertical="center" wrapText="1"/>
    </xf>
    <xf numFmtId="0" fontId="12" fillId="0" borderId="6" xfId="0" applyFont="1" applyBorder="1" applyAlignment="1">
      <alignment horizontal="center"/>
    </xf>
  </cellXfs>
  <cellStyles count="2">
    <cellStyle name="Hyperlink 1" xfId="1" xr:uid="{00000000-0005-0000-0000-000001000000}"/>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EBF5FF"/>
      <rgbColor rgb="FF800000"/>
      <rgbColor rgb="FF008000"/>
      <rgbColor rgb="FF000080"/>
      <rgbColor rgb="FF808000"/>
      <rgbColor rgb="FF800080"/>
      <rgbColor rgb="FF008080"/>
      <rgbColor rgb="FFD0D0D0"/>
      <rgbColor rgb="FF777777"/>
      <rgbColor rgb="FFB4E5A2"/>
      <rgbColor rgb="FF993366"/>
      <rgbColor rgb="FFEBFCE3"/>
      <rgbColor rgb="FFDCF2FC"/>
      <rgbColor rgb="FF660066"/>
      <rgbColor rgb="FFEDEDED"/>
      <rgbColor rgb="FF0066CC"/>
      <rgbColor rgb="FFC5D8F1"/>
      <rgbColor rgb="FF000080"/>
      <rgbColor rgb="FFFF00FF"/>
      <rgbColor rgb="FFC1F1C8"/>
      <rgbColor rgb="FF00FFFF"/>
      <rgbColor rgb="FF800080"/>
      <rgbColor rgb="FF800000"/>
      <rgbColor rgb="FF008080"/>
      <rgbColor rgb="FF0000FF"/>
      <rgbColor rgb="FF00CCFF"/>
      <rgbColor rgb="FFDCEAF7"/>
      <rgbColor rgb="FFD9F2D0"/>
      <rgbColor rgb="FFFFE699"/>
      <rgbColor rgb="FF82CAEC"/>
      <rgbColor rgb="FFF1AB83"/>
      <rgbColor rgb="FFC1E5F5"/>
      <rgbColor rgb="FFFAE3D6"/>
      <rgbColor rgb="FF3366FF"/>
      <rgbColor rgb="FFC6EFCE"/>
      <rgbColor rgb="FF92D050"/>
      <rgbColor rgb="FFFFC000"/>
      <rgbColor rgb="FFFAEFE8"/>
      <rgbColor rgb="FFFF6600"/>
      <rgbColor rgb="FF467886"/>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8"/>
  <sheetViews>
    <sheetView tabSelected="1" topLeftCell="B1" zoomScaleNormal="100" workbookViewId="0">
      <pane ySplit="1" topLeftCell="A29" activePane="bottomLeft" state="frozen"/>
      <selection activeCell="O1" sqref="O1"/>
      <selection pane="bottomLeft" activeCell="D29" sqref="D29:D34"/>
    </sheetView>
  </sheetViews>
  <sheetFormatPr baseColWidth="10" defaultColWidth="9.1796875" defaultRowHeight="14.5" x14ac:dyDescent="0.35"/>
  <cols>
    <col min="1" max="1" width="2.7265625" customWidth="1"/>
    <col min="2" max="2" width="14.1796875" style="1" customWidth="1"/>
    <col min="3" max="4" width="52.1796875" style="34" customWidth="1"/>
    <col min="5" max="5" width="25.26953125" customWidth="1"/>
    <col min="6" max="6" width="44.1796875" customWidth="1"/>
    <col min="7" max="7" width="37.54296875" customWidth="1"/>
    <col min="8" max="8" width="20.26953125" customWidth="1"/>
    <col min="9" max="9" width="14.54296875" customWidth="1"/>
    <col min="10" max="10" width="25.54296875" customWidth="1"/>
    <col min="11" max="11" width="20.1796875" customWidth="1"/>
    <col min="12" max="12" width="41.7265625" customWidth="1"/>
    <col min="13" max="13" width="21.1796875" customWidth="1"/>
    <col min="14" max="14" width="51.26953125" customWidth="1"/>
    <col min="15" max="15" width="83.54296875" customWidth="1"/>
    <col min="16" max="16" width="8" customWidth="1"/>
    <col min="17" max="17" width="90" customWidth="1"/>
    <col min="18" max="18" width="16" customWidth="1"/>
    <col min="19" max="19" width="19.7265625" style="129" customWidth="1"/>
    <col min="20" max="20" width="21.54296875" customWidth="1"/>
    <col min="21" max="21" width="49.1796875" hidden="1" customWidth="1"/>
    <col min="22" max="22" width="7.54296875" hidden="1" customWidth="1"/>
    <col min="23" max="23" width="37.7265625" hidden="1" customWidth="1"/>
  </cols>
  <sheetData>
    <row r="1" spans="1:23" ht="30" customHeight="1" thickBot="1" x14ac:dyDescent="0.4">
      <c r="B1" s="2" t="s">
        <v>0</v>
      </c>
      <c r="C1" s="3" t="s">
        <v>1</v>
      </c>
      <c r="D1" s="130" t="s">
        <v>2</v>
      </c>
      <c r="E1" s="4" t="s">
        <v>3</v>
      </c>
      <c r="F1" s="4" t="s">
        <v>4</v>
      </c>
      <c r="G1" s="4" t="s">
        <v>5</v>
      </c>
      <c r="H1" s="4" t="s">
        <v>6</v>
      </c>
      <c r="I1" s="4" t="s">
        <v>7</v>
      </c>
      <c r="J1" s="4" t="s">
        <v>8</v>
      </c>
      <c r="K1" s="4" t="s">
        <v>9</v>
      </c>
      <c r="L1" s="4" t="s">
        <v>10</v>
      </c>
      <c r="M1" s="4" t="s">
        <v>11</v>
      </c>
      <c r="N1" s="4" t="s">
        <v>12</v>
      </c>
      <c r="O1" s="4" t="s">
        <v>13</v>
      </c>
      <c r="P1" s="5" t="s">
        <v>14</v>
      </c>
      <c r="Q1" s="5" t="s">
        <v>15</v>
      </c>
      <c r="R1" s="5" t="s">
        <v>16</v>
      </c>
      <c r="S1" s="126" t="s">
        <v>17</v>
      </c>
      <c r="T1" s="126" t="s">
        <v>18</v>
      </c>
      <c r="U1" s="4" t="s">
        <v>19</v>
      </c>
      <c r="V1" s="4" t="s">
        <v>20</v>
      </c>
      <c r="W1" s="4" t="s">
        <v>21</v>
      </c>
    </row>
    <row r="2" spans="1:23" ht="15.75" customHeight="1" thickBot="1" x14ac:dyDescent="0.4">
      <c r="A2" s="148"/>
      <c r="B2" s="175" t="s">
        <v>22</v>
      </c>
      <c r="C2" s="163" t="s">
        <v>23</v>
      </c>
      <c r="D2" s="164" t="s">
        <v>24</v>
      </c>
      <c r="E2" s="150" t="s">
        <v>25</v>
      </c>
      <c r="F2" s="150" t="s">
        <v>26</v>
      </c>
      <c r="G2" s="150" t="s">
        <v>27</v>
      </c>
      <c r="H2" s="150" t="s">
        <v>28</v>
      </c>
      <c r="I2" s="173">
        <v>0.05</v>
      </c>
      <c r="J2" s="150" t="s">
        <v>29</v>
      </c>
      <c r="K2" s="173">
        <v>0.03</v>
      </c>
      <c r="L2" s="150"/>
      <c r="M2" s="166"/>
      <c r="N2" s="150" t="s">
        <v>30</v>
      </c>
      <c r="O2" s="150" t="s">
        <v>31</v>
      </c>
      <c r="P2" s="6">
        <v>1</v>
      </c>
      <c r="Q2" s="7" t="s">
        <v>32</v>
      </c>
      <c r="R2" s="6" t="s">
        <v>33</v>
      </c>
      <c r="S2" s="121">
        <v>0.05</v>
      </c>
      <c r="T2" s="8">
        <f>S2/SUM(S2:S4)</f>
        <v>0.625</v>
      </c>
      <c r="U2" s="150" t="s">
        <v>34</v>
      </c>
      <c r="V2" s="176"/>
      <c r="W2" s="150"/>
    </row>
    <row r="3" spans="1:23" ht="27.75" customHeight="1" thickBot="1" x14ac:dyDescent="0.4">
      <c r="A3" s="145"/>
      <c r="B3" s="145"/>
      <c r="C3" s="145"/>
      <c r="D3" s="145"/>
      <c r="E3" s="145"/>
      <c r="F3" s="145"/>
      <c r="G3" s="145"/>
      <c r="H3" s="145"/>
      <c r="I3" s="145"/>
      <c r="J3" s="145"/>
      <c r="K3" s="145"/>
      <c r="L3" s="145"/>
      <c r="M3" s="145"/>
      <c r="N3" s="145"/>
      <c r="O3" s="145"/>
      <c r="P3" s="9">
        <v>2</v>
      </c>
      <c r="Q3" s="10" t="s">
        <v>35</v>
      </c>
      <c r="R3" s="9" t="s">
        <v>29</v>
      </c>
      <c r="S3" s="122">
        <v>1.4999999999999999E-2</v>
      </c>
      <c r="T3" s="11">
        <f>S3/SUM(S2:S4)</f>
        <v>0.1875</v>
      </c>
      <c r="U3" s="145"/>
      <c r="V3" s="145"/>
      <c r="W3" s="145"/>
    </row>
    <row r="4" spans="1:23" ht="15.75" customHeight="1" thickBot="1" x14ac:dyDescent="0.4">
      <c r="A4" s="146"/>
      <c r="B4" s="145"/>
      <c r="C4" s="146"/>
      <c r="D4" s="153"/>
      <c r="E4" s="146"/>
      <c r="F4" s="146"/>
      <c r="G4" s="146"/>
      <c r="H4" s="146"/>
      <c r="I4" s="146"/>
      <c r="J4" s="146"/>
      <c r="K4" s="146"/>
      <c r="L4" s="146"/>
      <c r="M4" s="146"/>
      <c r="N4" s="146"/>
      <c r="O4" s="146"/>
      <c r="P4" s="9">
        <v>3</v>
      </c>
      <c r="Q4" s="10" t="s">
        <v>36</v>
      </c>
      <c r="R4" s="9" t="s">
        <v>29</v>
      </c>
      <c r="S4" s="122">
        <v>1.4999999999999999E-2</v>
      </c>
      <c r="T4" s="11">
        <f>S4/SUM(S2:S4)</f>
        <v>0.1875</v>
      </c>
      <c r="U4" s="146"/>
      <c r="V4" s="146"/>
      <c r="W4" s="146"/>
    </row>
    <row r="5" spans="1:23" ht="27.75" customHeight="1" thickBot="1" x14ac:dyDescent="0.4">
      <c r="A5" s="148"/>
      <c r="B5" s="145"/>
      <c r="C5" s="163" t="s">
        <v>37</v>
      </c>
      <c r="D5" s="171" t="s">
        <v>24</v>
      </c>
      <c r="E5" s="150" t="s">
        <v>38</v>
      </c>
      <c r="F5" s="150" t="s">
        <v>39</v>
      </c>
      <c r="G5" s="150" t="s">
        <v>27</v>
      </c>
      <c r="H5" s="150"/>
      <c r="I5" s="166"/>
      <c r="J5" s="150" t="s">
        <v>29</v>
      </c>
      <c r="K5" s="173">
        <v>0.03</v>
      </c>
      <c r="L5" s="150"/>
      <c r="M5" s="166"/>
      <c r="N5" s="150" t="s">
        <v>40</v>
      </c>
      <c r="O5" s="150" t="s">
        <v>41</v>
      </c>
      <c r="P5" s="12">
        <v>1</v>
      </c>
      <c r="Q5" s="13" t="s">
        <v>42</v>
      </c>
      <c r="R5" s="12" t="s">
        <v>29</v>
      </c>
      <c r="S5" s="123">
        <v>7.4999999999999997E-3</v>
      </c>
      <c r="T5" s="14">
        <f>S5/SUM(S5:S8)</f>
        <v>0.25</v>
      </c>
      <c r="U5" s="150" t="s">
        <v>34</v>
      </c>
      <c r="V5" s="176"/>
      <c r="W5" s="150"/>
    </row>
    <row r="6" spans="1:23" ht="27.75" customHeight="1" thickBot="1" x14ac:dyDescent="0.4">
      <c r="A6" s="145"/>
      <c r="B6" s="145"/>
      <c r="C6" s="145"/>
      <c r="D6" s="145"/>
      <c r="E6" s="145"/>
      <c r="F6" s="145"/>
      <c r="G6" s="145"/>
      <c r="H6" s="145"/>
      <c r="I6" s="145"/>
      <c r="J6" s="145"/>
      <c r="K6" s="145"/>
      <c r="L6" s="145"/>
      <c r="M6" s="145"/>
      <c r="N6" s="145"/>
      <c r="O6" s="145"/>
      <c r="P6" s="9">
        <v>2</v>
      </c>
      <c r="Q6" s="10" t="s">
        <v>43</v>
      </c>
      <c r="R6" s="9" t="s">
        <v>29</v>
      </c>
      <c r="S6" s="122">
        <v>7.4999999999999997E-3</v>
      </c>
      <c r="T6" s="11">
        <f>S6/SUM(S5:S8)</f>
        <v>0.25</v>
      </c>
      <c r="U6" s="145"/>
      <c r="V6" s="145"/>
      <c r="W6" s="145"/>
    </row>
    <row r="7" spans="1:23" ht="27.75" customHeight="1" thickBot="1" x14ac:dyDescent="0.4">
      <c r="A7" s="145"/>
      <c r="B7" s="145"/>
      <c r="C7" s="145"/>
      <c r="D7" s="145"/>
      <c r="E7" s="145"/>
      <c r="F7" s="145"/>
      <c r="G7" s="145"/>
      <c r="H7" s="145"/>
      <c r="I7" s="145"/>
      <c r="J7" s="145"/>
      <c r="K7" s="145"/>
      <c r="L7" s="145"/>
      <c r="M7" s="145"/>
      <c r="N7" s="145"/>
      <c r="O7" s="145"/>
      <c r="P7" s="9">
        <v>3</v>
      </c>
      <c r="Q7" s="10" t="s">
        <v>44</v>
      </c>
      <c r="R7" s="9" t="s">
        <v>29</v>
      </c>
      <c r="S7" s="122">
        <v>7.4999999999999997E-3</v>
      </c>
      <c r="T7" s="11">
        <f>S7/SUM(S5:S8)</f>
        <v>0.25</v>
      </c>
      <c r="U7" s="145"/>
      <c r="V7" s="145"/>
      <c r="W7" s="145"/>
    </row>
    <row r="8" spans="1:23" ht="27.75" customHeight="1" thickBot="1" x14ac:dyDescent="0.4">
      <c r="A8" s="146"/>
      <c r="B8" s="145"/>
      <c r="C8" s="146"/>
      <c r="D8" s="153"/>
      <c r="E8" s="146"/>
      <c r="F8" s="146"/>
      <c r="G8" s="146"/>
      <c r="H8" s="146"/>
      <c r="I8" s="146"/>
      <c r="J8" s="146"/>
      <c r="K8" s="146"/>
      <c r="L8" s="146"/>
      <c r="M8" s="146"/>
      <c r="N8" s="146"/>
      <c r="O8" s="146"/>
      <c r="P8" s="9">
        <v>4</v>
      </c>
      <c r="Q8" s="10" t="s">
        <v>45</v>
      </c>
      <c r="R8" s="9" t="s">
        <v>29</v>
      </c>
      <c r="S8" s="122">
        <v>7.4999999999999997E-3</v>
      </c>
      <c r="T8" s="11">
        <f>S8/SUM(S5:S8)</f>
        <v>0.25</v>
      </c>
      <c r="U8" s="146"/>
      <c r="V8" s="146"/>
      <c r="W8" s="146"/>
    </row>
    <row r="9" spans="1:23" ht="27.75" customHeight="1" thickBot="1" x14ac:dyDescent="0.4">
      <c r="A9" s="148"/>
      <c r="B9" s="145"/>
      <c r="C9" s="163" t="s">
        <v>46</v>
      </c>
      <c r="D9" s="164" t="s">
        <v>24</v>
      </c>
      <c r="E9" s="150" t="s">
        <v>47</v>
      </c>
      <c r="F9" s="150" t="s">
        <v>48</v>
      </c>
      <c r="G9" s="150" t="s">
        <v>49</v>
      </c>
      <c r="H9" s="150"/>
      <c r="I9" s="166"/>
      <c r="J9" s="150" t="s">
        <v>29</v>
      </c>
      <c r="K9" s="173">
        <v>0.03</v>
      </c>
      <c r="L9" s="150" t="s">
        <v>50</v>
      </c>
      <c r="M9" s="173">
        <v>0.05</v>
      </c>
      <c r="N9" s="150" t="s">
        <v>40</v>
      </c>
      <c r="O9" s="150" t="s">
        <v>51</v>
      </c>
      <c r="P9" s="12">
        <v>1</v>
      </c>
      <c r="Q9" s="13" t="s">
        <v>42</v>
      </c>
      <c r="R9" s="12" t="s">
        <v>29</v>
      </c>
      <c r="S9" s="123">
        <v>7.4999999999999997E-3</v>
      </c>
      <c r="T9" s="14">
        <f>S9/SUM(S9:S13)</f>
        <v>9.375E-2</v>
      </c>
      <c r="U9" s="150" t="s">
        <v>52</v>
      </c>
      <c r="V9" s="172"/>
      <c r="W9" s="167"/>
    </row>
    <row r="10" spans="1:23" ht="27.75" customHeight="1" thickBot="1" x14ac:dyDescent="0.4">
      <c r="A10" s="145"/>
      <c r="B10" s="145"/>
      <c r="C10" s="145"/>
      <c r="D10" s="145"/>
      <c r="E10" s="145"/>
      <c r="F10" s="145"/>
      <c r="G10" s="145"/>
      <c r="H10" s="145"/>
      <c r="I10" s="145"/>
      <c r="J10" s="145"/>
      <c r="K10" s="145"/>
      <c r="L10" s="145"/>
      <c r="M10" s="145"/>
      <c r="N10" s="145"/>
      <c r="O10" s="145"/>
      <c r="P10" s="9">
        <v>2</v>
      </c>
      <c r="Q10" s="10" t="s">
        <v>43</v>
      </c>
      <c r="R10" s="9" t="s">
        <v>29</v>
      </c>
      <c r="S10" s="122">
        <v>7.4999999999999997E-3</v>
      </c>
      <c r="T10" s="11">
        <f>S10/SUM(S9:S13)</f>
        <v>9.375E-2</v>
      </c>
      <c r="U10" s="145"/>
      <c r="V10" s="145"/>
      <c r="W10" s="145"/>
    </row>
    <row r="11" spans="1:23" ht="27.75" customHeight="1" thickBot="1" x14ac:dyDescent="0.4">
      <c r="A11" s="145"/>
      <c r="B11" s="145"/>
      <c r="C11" s="145"/>
      <c r="D11" s="145"/>
      <c r="E11" s="145"/>
      <c r="F11" s="145"/>
      <c r="G11" s="145"/>
      <c r="H11" s="145"/>
      <c r="I11" s="145"/>
      <c r="J11" s="145"/>
      <c r="K11" s="145"/>
      <c r="L11" s="145"/>
      <c r="M11" s="145"/>
      <c r="N11" s="145"/>
      <c r="O11" s="145"/>
      <c r="P11" s="9">
        <v>3</v>
      </c>
      <c r="Q11" s="10" t="s">
        <v>44</v>
      </c>
      <c r="R11" s="9" t="s">
        <v>29</v>
      </c>
      <c r="S11" s="122">
        <v>7.4999999999999997E-3</v>
      </c>
      <c r="T11" s="11">
        <f>S11/SUM(S9:S13)</f>
        <v>9.375E-2</v>
      </c>
      <c r="U11" s="145"/>
      <c r="V11" s="145"/>
      <c r="W11" s="145"/>
    </row>
    <row r="12" spans="1:23" ht="27.75" customHeight="1" thickBot="1" x14ac:dyDescent="0.4">
      <c r="A12" s="145"/>
      <c r="B12" s="145"/>
      <c r="C12" s="145"/>
      <c r="D12" s="145"/>
      <c r="E12" s="145"/>
      <c r="F12" s="145"/>
      <c r="G12" s="145"/>
      <c r="H12" s="145"/>
      <c r="I12" s="145"/>
      <c r="J12" s="145"/>
      <c r="K12" s="145"/>
      <c r="L12" s="145"/>
      <c r="M12" s="145"/>
      <c r="N12" s="145"/>
      <c r="O12" s="145"/>
      <c r="P12" s="9">
        <v>4</v>
      </c>
      <c r="Q12" s="10" t="s">
        <v>45</v>
      </c>
      <c r="R12" s="9" t="s">
        <v>29</v>
      </c>
      <c r="S12" s="122">
        <v>7.4999999999999997E-3</v>
      </c>
      <c r="T12" s="11">
        <f>S12/SUM(S9:S13)</f>
        <v>9.375E-2</v>
      </c>
      <c r="U12" s="145"/>
      <c r="V12" s="145"/>
      <c r="W12" s="145"/>
    </row>
    <row r="13" spans="1:23" ht="27.75" customHeight="1" x14ac:dyDescent="0.35">
      <c r="A13" s="146"/>
      <c r="B13" s="153"/>
      <c r="C13" s="146"/>
      <c r="D13" s="153"/>
      <c r="E13" s="146"/>
      <c r="F13" s="146"/>
      <c r="G13" s="146"/>
      <c r="H13" s="146"/>
      <c r="I13" s="146"/>
      <c r="J13" s="146"/>
      <c r="K13" s="146"/>
      <c r="L13" s="146"/>
      <c r="M13" s="146"/>
      <c r="N13" s="146"/>
      <c r="O13" s="146"/>
      <c r="P13" s="15">
        <v>5</v>
      </c>
      <c r="Q13" s="16" t="s">
        <v>53</v>
      </c>
      <c r="R13" s="15" t="s">
        <v>54</v>
      </c>
      <c r="S13" s="124">
        <v>0.05</v>
      </c>
      <c r="T13" s="17">
        <f>S13/SUM(S9:S13)</f>
        <v>0.625</v>
      </c>
      <c r="U13" s="146"/>
      <c r="V13" s="146"/>
      <c r="W13" s="146"/>
    </row>
    <row r="14" spans="1:23" ht="15.75" customHeight="1" x14ac:dyDescent="0.35">
      <c r="A14" s="148"/>
      <c r="B14" s="168" t="s">
        <v>55</v>
      </c>
      <c r="C14" s="162" t="s">
        <v>56</v>
      </c>
      <c r="D14" s="165" t="s">
        <v>24</v>
      </c>
      <c r="E14" s="147" t="s">
        <v>57</v>
      </c>
      <c r="F14" s="147" t="s">
        <v>58</v>
      </c>
      <c r="G14" s="147" t="s">
        <v>59</v>
      </c>
      <c r="H14" s="147"/>
      <c r="I14" s="159"/>
      <c r="J14" s="147" t="s">
        <v>29</v>
      </c>
      <c r="K14" s="161">
        <v>0.06</v>
      </c>
      <c r="L14" s="147" t="s">
        <v>50</v>
      </c>
      <c r="M14" s="161">
        <v>0.15</v>
      </c>
      <c r="N14" s="147" t="s">
        <v>60</v>
      </c>
      <c r="O14" s="147" t="s">
        <v>61</v>
      </c>
      <c r="P14" s="12">
        <v>1</v>
      </c>
      <c r="Q14" s="13" t="s">
        <v>62</v>
      </c>
      <c r="R14" s="12" t="s">
        <v>29</v>
      </c>
      <c r="S14" s="123">
        <v>1.4999999999999999E-2</v>
      </c>
      <c r="T14" s="14">
        <f>S14/SUM(S14:S18)</f>
        <v>7.1428571428571425E-2</v>
      </c>
      <c r="U14" s="147" t="s">
        <v>63</v>
      </c>
      <c r="V14" s="174"/>
      <c r="W14" s="147"/>
    </row>
    <row r="15" spans="1:23" ht="27.75" customHeight="1" x14ac:dyDescent="0.35">
      <c r="A15" s="145"/>
      <c r="B15" s="145"/>
      <c r="C15" s="145"/>
      <c r="D15" s="145"/>
      <c r="E15" s="145"/>
      <c r="F15" s="145"/>
      <c r="G15" s="145"/>
      <c r="H15" s="145"/>
      <c r="I15" s="145"/>
      <c r="J15" s="145"/>
      <c r="K15" s="145"/>
      <c r="L15" s="145"/>
      <c r="M15" s="145"/>
      <c r="N15" s="145"/>
      <c r="O15" s="145"/>
      <c r="P15" s="9">
        <v>2</v>
      </c>
      <c r="Q15" s="10" t="s">
        <v>64</v>
      </c>
      <c r="R15" s="9" t="s">
        <v>29</v>
      </c>
      <c r="S15" s="122">
        <v>1.4999999999999999E-2</v>
      </c>
      <c r="T15" s="11">
        <f>S15/SUM(S14:S18)</f>
        <v>7.1428571428571425E-2</v>
      </c>
      <c r="U15" s="145"/>
      <c r="V15" s="145"/>
      <c r="W15" s="145"/>
    </row>
    <row r="16" spans="1:23" ht="27.75" customHeight="1" x14ac:dyDescent="0.35">
      <c r="A16" s="145"/>
      <c r="B16" s="145"/>
      <c r="C16" s="145"/>
      <c r="D16" s="145"/>
      <c r="E16" s="145"/>
      <c r="F16" s="145"/>
      <c r="G16" s="145"/>
      <c r="H16" s="145"/>
      <c r="I16" s="145"/>
      <c r="J16" s="145"/>
      <c r="K16" s="145"/>
      <c r="L16" s="145"/>
      <c r="M16" s="145"/>
      <c r="N16" s="145"/>
      <c r="O16" s="145"/>
      <c r="P16" s="9">
        <v>3</v>
      </c>
      <c r="Q16" s="10" t="s">
        <v>65</v>
      </c>
      <c r="R16" s="9" t="s">
        <v>29</v>
      </c>
      <c r="S16" s="122">
        <v>1.4999999999999999E-2</v>
      </c>
      <c r="T16" s="11">
        <f>S16/SUM(S14:S18)</f>
        <v>7.1428571428571425E-2</v>
      </c>
      <c r="U16" s="145"/>
      <c r="V16" s="145"/>
      <c r="W16" s="145"/>
    </row>
    <row r="17" spans="1:23" ht="27.75" customHeight="1" x14ac:dyDescent="0.35">
      <c r="A17" s="145"/>
      <c r="B17" s="145"/>
      <c r="C17" s="145"/>
      <c r="D17" s="145"/>
      <c r="E17" s="145"/>
      <c r="F17" s="145"/>
      <c r="G17" s="145"/>
      <c r="H17" s="145"/>
      <c r="I17" s="145"/>
      <c r="J17" s="145"/>
      <c r="K17" s="145"/>
      <c r="L17" s="145"/>
      <c r="M17" s="145"/>
      <c r="N17" s="145"/>
      <c r="O17" s="145"/>
      <c r="P17" s="9">
        <v>4</v>
      </c>
      <c r="Q17" s="10" t="s">
        <v>66</v>
      </c>
      <c r="R17" s="9" t="s">
        <v>29</v>
      </c>
      <c r="S17" s="122">
        <v>1.4999999999999999E-2</v>
      </c>
      <c r="T17" s="11">
        <f>S17/SUM(S14:S18)</f>
        <v>7.1428571428571425E-2</v>
      </c>
      <c r="U17" s="145"/>
      <c r="V17" s="145"/>
      <c r="W17" s="145"/>
    </row>
    <row r="18" spans="1:23" ht="27.75" customHeight="1" x14ac:dyDescent="0.35">
      <c r="A18" s="146"/>
      <c r="B18" s="145"/>
      <c r="C18" s="146"/>
      <c r="D18" s="146"/>
      <c r="E18" s="146"/>
      <c r="F18" s="146"/>
      <c r="G18" s="146"/>
      <c r="H18" s="146"/>
      <c r="I18" s="146"/>
      <c r="J18" s="146"/>
      <c r="K18" s="146"/>
      <c r="L18" s="146"/>
      <c r="M18" s="146"/>
      <c r="N18" s="146"/>
      <c r="O18" s="146"/>
      <c r="P18" s="15">
        <v>5</v>
      </c>
      <c r="Q18" s="16" t="s">
        <v>53</v>
      </c>
      <c r="R18" s="15" t="s">
        <v>54</v>
      </c>
      <c r="S18" s="124">
        <v>0.15</v>
      </c>
      <c r="T18" s="17">
        <f>S18/SUM(S14:S18)</f>
        <v>0.7142857142857143</v>
      </c>
      <c r="U18" s="146"/>
      <c r="V18" s="146"/>
      <c r="W18" s="146"/>
    </row>
    <row r="19" spans="1:23" ht="15.75" customHeight="1" x14ac:dyDescent="0.35">
      <c r="A19" s="148"/>
      <c r="B19" s="145"/>
      <c r="C19" s="162" t="s">
        <v>67</v>
      </c>
      <c r="D19" s="165" t="s">
        <v>68</v>
      </c>
      <c r="E19" s="147" t="s">
        <v>69</v>
      </c>
      <c r="F19" s="147" t="s">
        <v>58</v>
      </c>
      <c r="G19" s="147" t="s">
        <v>70</v>
      </c>
      <c r="H19" s="147"/>
      <c r="I19" s="159"/>
      <c r="J19" s="147" t="s">
        <v>29</v>
      </c>
      <c r="K19" s="161">
        <v>0.06</v>
      </c>
      <c r="L19" s="147" t="s">
        <v>50</v>
      </c>
      <c r="M19" s="161">
        <v>0.15</v>
      </c>
      <c r="N19" s="147" t="s">
        <v>71</v>
      </c>
      <c r="O19" s="147" t="s">
        <v>72</v>
      </c>
      <c r="P19" s="12">
        <v>1</v>
      </c>
      <c r="Q19" s="13" t="s">
        <v>62</v>
      </c>
      <c r="R19" s="12" t="s">
        <v>29</v>
      </c>
      <c r="S19" s="123">
        <v>1.4999999999999999E-2</v>
      </c>
      <c r="T19" s="14">
        <f>S19/SUM(S19:S23)</f>
        <v>7.1428571428571425E-2</v>
      </c>
      <c r="U19" s="147" t="s">
        <v>34</v>
      </c>
      <c r="V19" s="159"/>
      <c r="W19" s="147"/>
    </row>
    <row r="20" spans="1:23" ht="27.75" customHeight="1" x14ac:dyDescent="0.35">
      <c r="A20" s="145"/>
      <c r="B20" s="145"/>
      <c r="C20" s="145"/>
      <c r="D20" s="145"/>
      <c r="E20" s="145"/>
      <c r="F20" s="145"/>
      <c r="G20" s="145"/>
      <c r="H20" s="145"/>
      <c r="I20" s="145"/>
      <c r="J20" s="145"/>
      <c r="K20" s="145"/>
      <c r="L20" s="145"/>
      <c r="M20" s="145"/>
      <c r="N20" s="145"/>
      <c r="O20" s="145"/>
      <c r="P20" s="9">
        <v>2</v>
      </c>
      <c r="Q20" s="10" t="s">
        <v>64</v>
      </c>
      <c r="R20" s="9" t="s">
        <v>29</v>
      </c>
      <c r="S20" s="122">
        <v>1.4999999999999999E-2</v>
      </c>
      <c r="T20" s="11">
        <f>S20/SUM(S19:S23)</f>
        <v>7.1428571428571425E-2</v>
      </c>
      <c r="U20" s="145"/>
      <c r="V20" s="145"/>
      <c r="W20" s="145"/>
    </row>
    <row r="21" spans="1:23" ht="27.75" customHeight="1" x14ac:dyDescent="0.35">
      <c r="A21" s="145"/>
      <c r="B21" s="145"/>
      <c r="C21" s="145"/>
      <c r="D21" s="145"/>
      <c r="E21" s="145"/>
      <c r="F21" s="145"/>
      <c r="G21" s="145"/>
      <c r="H21" s="145"/>
      <c r="I21" s="145"/>
      <c r="J21" s="145"/>
      <c r="K21" s="145"/>
      <c r="L21" s="145"/>
      <c r="M21" s="145"/>
      <c r="N21" s="145"/>
      <c r="O21" s="145"/>
      <c r="P21" s="9">
        <v>3</v>
      </c>
      <c r="Q21" s="10" t="s">
        <v>65</v>
      </c>
      <c r="R21" s="9" t="s">
        <v>29</v>
      </c>
      <c r="S21" s="122">
        <v>1.4999999999999999E-2</v>
      </c>
      <c r="T21" s="11">
        <f>S21/SUM(S19:S23)</f>
        <v>7.1428571428571425E-2</v>
      </c>
      <c r="U21" s="145"/>
      <c r="V21" s="145"/>
      <c r="W21" s="145"/>
    </row>
    <row r="22" spans="1:23" ht="27.75" customHeight="1" x14ac:dyDescent="0.35">
      <c r="A22" s="145"/>
      <c r="B22" s="145"/>
      <c r="C22" s="145"/>
      <c r="D22" s="145"/>
      <c r="E22" s="145"/>
      <c r="F22" s="145"/>
      <c r="G22" s="145"/>
      <c r="H22" s="145"/>
      <c r="I22" s="145"/>
      <c r="J22" s="145"/>
      <c r="K22" s="145"/>
      <c r="L22" s="145"/>
      <c r="M22" s="145"/>
      <c r="N22" s="145"/>
      <c r="O22" s="145"/>
      <c r="P22" s="9">
        <v>4</v>
      </c>
      <c r="Q22" s="10" t="s">
        <v>66</v>
      </c>
      <c r="R22" s="9" t="s">
        <v>29</v>
      </c>
      <c r="S22" s="122">
        <v>1.4999999999999999E-2</v>
      </c>
      <c r="T22" s="11">
        <f>S22/SUM(S19:S23)</f>
        <v>7.1428571428571425E-2</v>
      </c>
      <c r="U22" s="145"/>
      <c r="V22" s="145"/>
      <c r="W22" s="145"/>
    </row>
    <row r="23" spans="1:23" ht="27.75" customHeight="1" x14ac:dyDescent="0.35">
      <c r="A23" s="146"/>
      <c r="B23" s="153"/>
      <c r="C23" s="146"/>
      <c r="D23" s="146"/>
      <c r="E23" s="146"/>
      <c r="F23" s="146"/>
      <c r="G23" s="146"/>
      <c r="H23" s="146"/>
      <c r="I23" s="146"/>
      <c r="J23" s="146"/>
      <c r="K23" s="146"/>
      <c r="L23" s="146"/>
      <c r="M23" s="146"/>
      <c r="N23" s="146"/>
      <c r="O23" s="146"/>
      <c r="P23" s="15">
        <v>5</v>
      </c>
      <c r="Q23" s="16" t="s">
        <v>53</v>
      </c>
      <c r="R23" s="15" t="s">
        <v>54</v>
      </c>
      <c r="S23" s="124">
        <v>0.15</v>
      </c>
      <c r="T23" s="17">
        <f>S23/SUM(S19:S23)</f>
        <v>0.7142857142857143</v>
      </c>
      <c r="U23" s="146"/>
      <c r="V23" s="146"/>
      <c r="W23" s="146"/>
    </row>
    <row r="24" spans="1:23" ht="27.75" customHeight="1" x14ac:dyDescent="0.35">
      <c r="A24" s="18"/>
      <c r="B24" s="152" t="s">
        <v>73</v>
      </c>
      <c r="C24" s="19" t="s">
        <v>74</v>
      </c>
      <c r="D24" s="131" t="s">
        <v>75</v>
      </c>
      <c r="E24" s="20" t="s">
        <v>76</v>
      </c>
      <c r="F24" s="21" t="s">
        <v>77</v>
      </c>
      <c r="G24" s="21" t="s">
        <v>78</v>
      </c>
      <c r="H24" s="21"/>
      <c r="I24" s="21"/>
      <c r="J24" s="21" t="s">
        <v>29</v>
      </c>
      <c r="K24" s="22">
        <v>0.06</v>
      </c>
      <c r="L24" s="21"/>
      <c r="M24" s="21"/>
      <c r="N24" s="21" t="s">
        <v>79</v>
      </c>
      <c r="O24" s="21" t="s">
        <v>80</v>
      </c>
      <c r="P24" s="12">
        <v>1</v>
      </c>
      <c r="Q24" s="13" t="s">
        <v>81</v>
      </c>
      <c r="R24" s="12" t="s">
        <v>29</v>
      </c>
      <c r="S24" s="123">
        <v>0.06</v>
      </c>
      <c r="T24" s="14">
        <f>S24/SUM(S24:S24)</f>
        <v>1</v>
      </c>
      <c r="U24" s="21"/>
      <c r="V24" s="21"/>
      <c r="W24" s="21"/>
    </row>
    <row r="25" spans="1:23" ht="27.75" customHeight="1" x14ac:dyDescent="0.35">
      <c r="A25" s="148"/>
      <c r="B25" s="145"/>
      <c r="C25" s="154" t="s">
        <v>82</v>
      </c>
      <c r="D25" s="154" t="s">
        <v>75</v>
      </c>
      <c r="E25" s="144" t="s">
        <v>76</v>
      </c>
      <c r="F25" s="144" t="s">
        <v>83</v>
      </c>
      <c r="G25" s="144" t="s">
        <v>84</v>
      </c>
      <c r="H25" s="144"/>
      <c r="I25" s="151"/>
      <c r="J25" s="144" t="s">
        <v>29</v>
      </c>
      <c r="K25" s="157">
        <v>0.06</v>
      </c>
      <c r="L25" s="144" t="s">
        <v>85</v>
      </c>
      <c r="M25" s="157">
        <v>0.15</v>
      </c>
      <c r="N25" s="144" t="s">
        <v>79</v>
      </c>
      <c r="O25" s="144" t="s">
        <v>86</v>
      </c>
      <c r="P25" s="12">
        <v>1</v>
      </c>
      <c r="Q25" s="13" t="s">
        <v>87</v>
      </c>
      <c r="R25" s="12" t="s">
        <v>29</v>
      </c>
      <c r="S25" s="123">
        <v>0.02</v>
      </c>
      <c r="T25" s="14">
        <f>S25/SUM(S25:S28)</f>
        <v>9.5238095238095247E-2</v>
      </c>
      <c r="U25" s="144"/>
      <c r="V25" s="151"/>
      <c r="W25" s="144"/>
    </row>
    <row r="26" spans="1:23" ht="27.75" customHeight="1" x14ac:dyDescent="0.35">
      <c r="A26" s="145"/>
      <c r="B26" s="145"/>
      <c r="C26" s="145"/>
      <c r="D26" s="145"/>
      <c r="E26" s="145"/>
      <c r="F26" s="145"/>
      <c r="G26" s="145"/>
      <c r="H26" s="145"/>
      <c r="I26" s="145"/>
      <c r="J26" s="145"/>
      <c r="K26" s="145"/>
      <c r="L26" s="145"/>
      <c r="M26" s="145"/>
      <c r="N26" s="145"/>
      <c r="O26" s="145"/>
      <c r="P26" s="9">
        <v>2</v>
      </c>
      <c r="Q26" s="10" t="s">
        <v>88</v>
      </c>
      <c r="R26" s="9" t="s">
        <v>29</v>
      </c>
      <c r="S26" s="122">
        <v>0.02</v>
      </c>
      <c r="T26" s="11">
        <f>S26/SUM(S25:S28)</f>
        <v>9.5238095238095247E-2</v>
      </c>
      <c r="U26" s="145"/>
      <c r="V26" s="145"/>
      <c r="W26" s="145"/>
    </row>
    <row r="27" spans="1:23" ht="27.75" customHeight="1" x14ac:dyDescent="0.35">
      <c r="A27" s="145"/>
      <c r="B27" s="145"/>
      <c r="C27" s="145"/>
      <c r="D27" s="145"/>
      <c r="E27" s="145"/>
      <c r="F27" s="145"/>
      <c r="G27" s="145"/>
      <c r="H27" s="145"/>
      <c r="I27" s="145"/>
      <c r="J27" s="145"/>
      <c r="K27" s="145"/>
      <c r="L27" s="145"/>
      <c r="M27" s="145"/>
      <c r="N27" s="145"/>
      <c r="O27" s="145"/>
      <c r="P27" s="9">
        <v>3</v>
      </c>
      <c r="Q27" s="10" t="s">
        <v>89</v>
      </c>
      <c r="R27" s="9" t="s">
        <v>29</v>
      </c>
      <c r="S27" s="122">
        <v>0.02</v>
      </c>
      <c r="T27" s="11">
        <f>S27/SUM(S25:S28)</f>
        <v>9.5238095238095247E-2</v>
      </c>
      <c r="U27" s="145"/>
      <c r="V27" s="145"/>
      <c r="W27" s="145"/>
    </row>
    <row r="28" spans="1:23" ht="27.75" customHeight="1" x14ac:dyDescent="0.35">
      <c r="A28" s="146"/>
      <c r="B28" s="145"/>
      <c r="C28" s="146"/>
      <c r="D28" s="146"/>
      <c r="E28" s="146"/>
      <c r="F28" s="146"/>
      <c r="G28" s="146"/>
      <c r="H28" s="146"/>
      <c r="I28" s="146"/>
      <c r="J28" s="146"/>
      <c r="K28" s="146"/>
      <c r="L28" s="146"/>
      <c r="M28" s="146"/>
      <c r="N28" s="146"/>
      <c r="O28" s="146"/>
      <c r="P28" s="15">
        <v>4</v>
      </c>
      <c r="Q28" s="16" t="s">
        <v>90</v>
      </c>
      <c r="R28" s="15" t="s">
        <v>54</v>
      </c>
      <c r="S28" s="124">
        <v>0.15</v>
      </c>
      <c r="T28" s="17">
        <f>S28/SUM(S25:S28)</f>
        <v>0.7142857142857143</v>
      </c>
      <c r="U28" s="146"/>
      <c r="V28" s="146"/>
      <c r="W28" s="146"/>
    </row>
    <row r="29" spans="1:23" ht="27.75" customHeight="1" x14ac:dyDescent="0.35">
      <c r="A29" s="148"/>
      <c r="B29" s="145"/>
      <c r="C29" s="154" t="s">
        <v>91</v>
      </c>
      <c r="D29" s="158" t="s">
        <v>68</v>
      </c>
      <c r="E29" s="144" t="s">
        <v>69</v>
      </c>
      <c r="F29" s="144" t="s">
        <v>92</v>
      </c>
      <c r="G29" s="144" t="s">
        <v>93</v>
      </c>
      <c r="H29" s="144"/>
      <c r="I29" s="151"/>
      <c r="J29" s="144" t="s">
        <v>29</v>
      </c>
      <c r="K29" s="157">
        <v>0.06</v>
      </c>
      <c r="L29" s="144" t="s">
        <v>94</v>
      </c>
      <c r="M29" s="157">
        <v>0.15</v>
      </c>
      <c r="N29" s="144" t="s">
        <v>71</v>
      </c>
      <c r="O29" s="144" t="s">
        <v>95</v>
      </c>
      <c r="P29" s="12">
        <v>1</v>
      </c>
      <c r="Q29" s="13" t="s">
        <v>96</v>
      </c>
      <c r="R29" s="12" t="s">
        <v>29</v>
      </c>
      <c r="S29" s="123">
        <v>1.2E-2</v>
      </c>
      <c r="T29" s="14">
        <f>S29/SUM(S29:S34)</f>
        <v>5.7142857142857148E-2</v>
      </c>
      <c r="U29" s="144"/>
      <c r="V29" s="151"/>
      <c r="W29" s="144"/>
    </row>
    <row r="30" spans="1:23" ht="42" customHeight="1" x14ac:dyDescent="0.35">
      <c r="A30" s="145"/>
      <c r="B30" s="145"/>
      <c r="C30" s="145"/>
      <c r="D30" s="145"/>
      <c r="E30" s="145"/>
      <c r="F30" s="145"/>
      <c r="G30" s="145"/>
      <c r="H30" s="145"/>
      <c r="I30" s="145"/>
      <c r="J30" s="145"/>
      <c r="K30" s="145"/>
      <c r="L30" s="145"/>
      <c r="M30" s="145"/>
      <c r="N30" s="145"/>
      <c r="O30" s="145"/>
      <c r="P30" s="9">
        <v>2</v>
      </c>
      <c r="Q30" s="10" t="s">
        <v>97</v>
      </c>
      <c r="R30" s="9" t="s">
        <v>29</v>
      </c>
      <c r="S30" s="122">
        <v>1.2E-2</v>
      </c>
      <c r="T30" s="11">
        <f>S30/SUM(S29:S34)</f>
        <v>5.7142857142857148E-2</v>
      </c>
      <c r="U30" s="145"/>
      <c r="V30" s="145"/>
      <c r="W30" s="145"/>
    </row>
    <row r="31" spans="1:23" ht="42" customHeight="1" x14ac:dyDescent="0.35">
      <c r="A31" s="145"/>
      <c r="B31" s="145"/>
      <c r="C31" s="145"/>
      <c r="D31" s="145"/>
      <c r="E31" s="145"/>
      <c r="F31" s="145"/>
      <c r="G31" s="145"/>
      <c r="H31" s="145"/>
      <c r="I31" s="145"/>
      <c r="J31" s="145"/>
      <c r="K31" s="145"/>
      <c r="L31" s="145"/>
      <c r="M31" s="145"/>
      <c r="N31" s="145"/>
      <c r="O31" s="145"/>
      <c r="P31" s="9">
        <v>3</v>
      </c>
      <c r="Q31" s="10" t="s">
        <v>98</v>
      </c>
      <c r="R31" s="9" t="s">
        <v>29</v>
      </c>
      <c r="S31" s="122">
        <v>1.2E-2</v>
      </c>
      <c r="T31" s="11">
        <f>S31/SUM(S29:S34)</f>
        <v>5.7142857142857148E-2</v>
      </c>
      <c r="U31" s="145"/>
      <c r="V31" s="145"/>
      <c r="W31" s="145"/>
    </row>
    <row r="32" spans="1:23" ht="27.75" customHeight="1" x14ac:dyDescent="0.35">
      <c r="A32" s="145"/>
      <c r="B32" s="145"/>
      <c r="C32" s="145"/>
      <c r="D32" s="145"/>
      <c r="E32" s="145"/>
      <c r="F32" s="145"/>
      <c r="G32" s="145"/>
      <c r="H32" s="145"/>
      <c r="I32" s="145"/>
      <c r="J32" s="145"/>
      <c r="K32" s="145"/>
      <c r="L32" s="145"/>
      <c r="M32" s="145"/>
      <c r="N32" s="145"/>
      <c r="O32" s="145"/>
      <c r="P32" s="9">
        <v>4</v>
      </c>
      <c r="Q32" s="10" t="s">
        <v>99</v>
      </c>
      <c r="R32" s="9" t="s">
        <v>29</v>
      </c>
      <c r="S32" s="122">
        <v>1.2E-2</v>
      </c>
      <c r="T32" s="11">
        <f>S32/SUM(S29:S34)</f>
        <v>5.7142857142857148E-2</v>
      </c>
      <c r="U32" s="145"/>
      <c r="V32" s="145"/>
      <c r="W32" s="145"/>
    </row>
    <row r="33" spans="1:23" ht="27.75" customHeight="1" x14ac:dyDescent="0.35">
      <c r="A33" s="145"/>
      <c r="B33" s="145"/>
      <c r="C33" s="145"/>
      <c r="D33" s="145"/>
      <c r="E33" s="145"/>
      <c r="F33" s="145"/>
      <c r="G33" s="145"/>
      <c r="H33" s="145"/>
      <c r="I33" s="145"/>
      <c r="J33" s="145"/>
      <c r="K33" s="145"/>
      <c r="L33" s="145"/>
      <c r="M33" s="145"/>
      <c r="N33" s="145"/>
      <c r="O33" s="145"/>
      <c r="P33" s="9">
        <v>5</v>
      </c>
      <c r="Q33" s="10" t="s">
        <v>100</v>
      </c>
      <c r="R33" s="9" t="s">
        <v>29</v>
      </c>
      <c r="S33" s="122">
        <v>1.2E-2</v>
      </c>
      <c r="T33" s="11">
        <f>S33/SUM(S29:S34)</f>
        <v>5.7142857142857148E-2</v>
      </c>
      <c r="U33" s="145"/>
      <c r="V33" s="145"/>
      <c r="W33" s="145"/>
    </row>
    <row r="34" spans="1:23" ht="27.75" customHeight="1" thickBot="1" x14ac:dyDescent="0.4">
      <c r="A34" s="146"/>
      <c r="B34" s="145"/>
      <c r="C34" s="146"/>
      <c r="D34" s="146"/>
      <c r="E34" s="146"/>
      <c r="F34" s="146"/>
      <c r="G34" s="146"/>
      <c r="H34" s="146"/>
      <c r="I34" s="146"/>
      <c r="J34" s="146"/>
      <c r="K34" s="146"/>
      <c r="L34" s="146"/>
      <c r="M34" s="146"/>
      <c r="N34" s="146"/>
      <c r="O34" s="146"/>
      <c r="P34" s="15">
        <v>6</v>
      </c>
      <c r="Q34" s="16" t="s">
        <v>101</v>
      </c>
      <c r="R34" s="15" t="s">
        <v>54</v>
      </c>
      <c r="S34" s="124">
        <v>0.15</v>
      </c>
      <c r="T34" s="17">
        <f>S34/SUM(S29:S34)</f>
        <v>0.7142857142857143</v>
      </c>
      <c r="U34" s="146"/>
      <c r="V34" s="146"/>
      <c r="W34" s="146"/>
    </row>
    <row r="35" spans="1:23" ht="27.75" customHeight="1" x14ac:dyDescent="0.35">
      <c r="A35" s="148"/>
      <c r="B35" s="145"/>
      <c r="C35" s="154" t="s">
        <v>102</v>
      </c>
      <c r="D35" s="154" t="s">
        <v>103</v>
      </c>
      <c r="E35" s="144" t="s">
        <v>104</v>
      </c>
      <c r="F35" s="144" t="s">
        <v>105</v>
      </c>
      <c r="G35" s="144" t="s">
        <v>106</v>
      </c>
      <c r="H35" s="144"/>
      <c r="I35" s="151"/>
      <c r="J35" s="144" t="s">
        <v>29</v>
      </c>
      <c r="K35" s="157">
        <v>0.06</v>
      </c>
      <c r="L35" s="144" t="s">
        <v>94</v>
      </c>
      <c r="M35" s="157">
        <v>0.15</v>
      </c>
      <c r="N35" s="144" t="s">
        <v>71</v>
      </c>
      <c r="O35" s="144" t="s">
        <v>107</v>
      </c>
      <c r="P35" s="132">
        <v>1</v>
      </c>
      <c r="Q35" s="133" t="s">
        <v>108</v>
      </c>
      <c r="R35" s="132" t="s">
        <v>29</v>
      </c>
      <c r="S35" s="134">
        <v>0.02</v>
      </c>
      <c r="T35" s="135">
        <f>S35/SUM($S$35:$S$38)</f>
        <v>9.5238095238095247E-2</v>
      </c>
      <c r="U35" s="144"/>
      <c r="V35" s="151"/>
      <c r="W35" s="144"/>
    </row>
    <row r="36" spans="1:23" ht="42" customHeight="1" x14ac:dyDescent="0.35">
      <c r="A36" s="145"/>
      <c r="B36" s="145"/>
      <c r="C36" s="145"/>
      <c r="D36" s="145"/>
      <c r="E36" s="145"/>
      <c r="F36" s="145"/>
      <c r="G36" s="145"/>
      <c r="H36" s="145"/>
      <c r="I36" s="145"/>
      <c r="J36" s="145"/>
      <c r="K36" s="145"/>
      <c r="L36" s="145"/>
      <c r="M36" s="145"/>
      <c r="N36" s="145"/>
      <c r="O36" s="145"/>
      <c r="P36" s="136">
        <v>2</v>
      </c>
      <c r="Q36" s="137" t="s">
        <v>109</v>
      </c>
      <c r="R36" s="136" t="s">
        <v>29</v>
      </c>
      <c r="S36" s="138">
        <v>0.02</v>
      </c>
      <c r="T36" s="139">
        <f>S36/SUM($S$35:$S$38)</f>
        <v>9.5238095238095247E-2</v>
      </c>
      <c r="U36" s="145"/>
      <c r="V36" s="145"/>
      <c r="W36" s="145"/>
    </row>
    <row r="37" spans="1:23" ht="27.75" customHeight="1" x14ac:dyDescent="0.35">
      <c r="A37" s="145"/>
      <c r="B37" s="145"/>
      <c r="C37" s="145"/>
      <c r="D37" s="145"/>
      <c r="E37" s="145"/>
      <c r="F37" s="145"/>
      <c r="G37" s="145"/>
      <c r="H37" s="145"/>
      <c r="I37" s="145"/>
      <c r="J37" s="145"/>
      <c r="K37" s="145"/>
      <c r="L37" s="145"/>
      <c r="M37" s="145"/>
      <c r="N37" s="145"/>
      <c r="O37" s="145"/>
      <c r="P37" s="136">
        <v>3</v>
      </c>
      <c r="Q37" s="137" t="s">
        <v>110</v>
      </c>
      <c r="R37" s="136" t="s">
        <v>29</v>
      </c>
      <c r="S37" s="138">
        <v>0.02</v>
      </c>
      <c r="T37" s="139">
        <f>S37/SUM($S$35:$S$38)</f>
        <v>9.5238095238095247E-2</v>
      </c>
      <c r="U37" s="145"/>
      <c r="V37" s="145"/>
      <c r="W37" s="145"/>
    </row>
    <row r="38" spans="1:23" ht="27.75" customHeight="1" thickBot="1" x14ac:dyDescent="0.4">
      <c r="A38" s="146"/>
      <c r="B38" s="145"/>
      <c r="C38" s="146"/>
      <c r="D38" s="146"/>
      <c r="E38" s="146"/>
      <c r="F38" s="146"/>
      <c r="G38" s="146"/>
      <c r="H38" s="146"/>
      <c r="I38" s="146"/>
      <c r="J38" s="146"/>
      <c r="K38" s="146"/>
      <c r="L38" s="146"/>
      <c r="M38" s="146"/>
      <c r="N38" s="146"/>
      <c r="O38" s="146"/>
      <c r="P38" s="140">
        <v>4</v>
      </c>
      <c r="Q38" s="141" t="s">
        <v>111</v>
      </c>
      <c r="R38" s="140" t="s">
        <v>54</v>
      </c>
      <c r="S38" s="142">
        <v>0.15</v>
      </c>
      <c r="T38" s="143">
        <f>S38/SUM($S$35:$S$38)</f>
        <v>0.7142857142857143</v>
      </c>
      <c r="U38" s="146"/>
      <c r="V38" s="146"/>
      <c r="W38" s="146"/>
    </row>
    <row r="39" spans="1:23" ht="42" customHeight="1" thickBot="1" x14ac:dyDescent="0.4">
      <c r="B39" s="145"/>
      <c r="C39" s="154" t="s">
        <v>112</v>
      </c>
      <c r="D39" s="178" t="s">
        <v>24</v>
      </c>
      <c r="E39" s="144" t="s">
        <v>113</v>
      </c>
      <c r="F39" s="144" t="s">
        <v>114</v>
      </c>
      <c r="G39" s="144" t="s">
        <v>115</v>
      </c>
      <c r="H39" s="144" t="s">
        <v>116</v>
      </c>
      <c r="I39" s="157">
        <v>0.05</v>
      </c>
      <c r="J39" s="144" t="s">
        <v>29</v>
      </c>
      <c r="K39" s="157">
        <v>0.02</v>
      </c>
      <c r="L39" s="144"/>
      <c r="M39" s="151"/>
      <c r="N39" s="144" t="s">
        <v>117</v>
      </c>
      <c r="O39" s="144" t="s">
        <v>118</v>
      </c>
      <c r="P39" s="12">
        <v>1</v>
      </c>
      <c r="Q39" s="13" t="s">
        <v>119</v>
      </c>
      <c r="R39" s="12" t="s">
        <v>29</v>
      </c>
      <c r="S39" s="123">
        <v>6.6699999999999997E-3</v>
      </c>
      <c r="T39" s="14">
        <f>S39/SUM(S39:S42)</f>
        <v>9.5272103985144976E-2</v>
      </c>
    </row>
    <row r="40" spans="1:23" ht="27.75" customHeight="1" thickBot="1" x14ac:dyDescent="0.4">
      <c r="B40" s="145"/>
      <c r="C40" s="145"/>
      <c r="D40" s="145"/>
      <c r="E40" s="145"/>
      <c r="F40" s="145"/>
      <c r="G40" s="145"/>
      <c r="H40" s="145"/>
      <c r="I40" s="145"/>
      <c r="J40" s="145"/>
      <c r="K40" s="145"/>
      <c r="L40" s="145"/>
      <c r="M40" s="145"/>
      <c r="N40" s="145"/>
      <c r="O40" s="145"/>
      <c r="P40" s="9">
        <v>2</v>
      </c>
      <c r="Q40" s="10" t="s">
        <v>120</v>
      </c>
      <c r="R40" s="9" t="s">
        <v>29</v>
      </c>
      <c r="S40" s="122">
        <v>6.6699999999999997E-3</v>
      </c>
      <c r="T40" s="11">
        <f>S40/SUM(S39:S42)</f>
        <v>9.5272103985144976E-2</v>
      </c>
    </row>
    <row r="41" spans="1:23" ht="27.75" customHeight="1" x14ac:dyDescent="0.35">
      <c r="A41" s="148"/>
      <c r="B41" s="145"/>
      <c r="C41" s="145"/>
      <c r="D41" s="145"/>
      <c r="E41" s="145"/>
      <c r="F41" s="145"/>
      <c r="G41" s="145"/>
      <c r="H41" s="145"/>
      <c r="I41" s="145"/>
      <c r="J41" s="145"/>
      <c r="K41" s="145"/>
      <c r="L41" s="145"/>
      <c r="M41" s="145"/>
      <c r="N41" s="145"/>
      <c r="O41" s="145"/>
      <c r="P41" s="9">
        <v>3</v>
      </c>
      <c r="Q41" s="10" t="s">
        <v>121</v>
      </c>
      <c r="R41" s="9" t="s">
        <v>29</v>
      </c>
      <c r="S41" s="122">
        <v>6.6699999999999997E-3</v>
      </c>
      <c r="T41" s="11">
        <f>S41/SUM(S39:S42)</f>
        <v>9.5272103985144976E-2</v>
      </c>
      <c r="U41" s="144"/>
      <c r="V41" s="151"/>
      <c r="W41" s="144"/>
    </row>
    <row r="42" spans="1:23" ht="27.75" customHeight="1" thickBot="1" x14ac:dyDescent="0.4">
      <c r="A42" s="145"/>
      <c r="B42" s="145"/>
      <c r="C42" s="146"/>
      <c r="D42" s="153"/>
      <c r="E42" s="146"/>
      <c r="F42" s="146"/>
      <c r="G42" s="146"/>
      <c r="H42" s="146"/>
      <c r="I42" s="146"/>
      <c r="J42" s="146"/>
      <c r="K42" s="146"/>
      <c r="L42" s="146"/>
      <c r="M42" s="146"/>
      <c r="N42" s="146"/>
      <c r="O42" s="146"/>
      <c r="P42" s="23">
        <v>4</v>
      </c>
      <c r="Q42" s="24" t="s">
        <v>122</v>
      </c>
      <c r="R42" s="23" t="s">
        <v>33</v>
      </c>
      <c r="S42" s="125">
        <v>0.05</v>
      </c>
      <c r="T42" s="25">
        <f>S42/SUM(S39:S42)</f>
        <v>0.71418368804456511</v>
      </c>
      <c r="U42" s="145"/>
      <c r="V42" s="145"/>
      <c r="W42" s="145"/>
    </row>
    <row r="43" spans="1:23" ht="27.75" customHeight="1" thickBot="1" x14ac:dyDescent="0.4">
      <c r="A43" s="145"/>
      <c r="B43" s="145"/>
      <c r="C43" s="154" t="s">
        <v>112</v>
      </c>
      <c r="D43" s="178" t="s">
        <v>112</v>
      </c>
      <c r="E43" s="144" t="s">
        <v>123</v>
      </c>
      <c r="F43" s="144" t="s">
        <v>114</v>
      </c>
      <c r="G43" s="144" t="s">
        <v>124</v>
      </c>
      <c r="H43" s="144"/>
      <c r="I43" s="157"/>
      <c r="J43" s="144" t="s">
        <v>29</v>
      </c>
      <c r="K43" s="157">
        <v>0.02</v>
      </c>
      <c r="L43" s="144"/>
      <c r="M43" s="151"/>
      <c r="N43" s="144" t="s">
        <v>117</v>
      </c>
      <c r="O43" s="144" t="s">
        <v>125</v>
      </c>
      <c r="P43" s="12">
        <v>1</v>
      </c>
      <c r="Q43" s="13" t="s">
        <v>126</v>
      </c>
      <c r="R43" s="12" t="s">
        <v>29</v>
      </c>
      <c r="S43" s="123">
        <v>0.02</v>
      </c>
      <c r="T43" s="14">
        <f>S43/SUM(S43:S44)</f>
        <v>1</v>
      </c>
      <c r="U43" s="145"/>
      <c r="V43" s="145"/>
      <c r="W43" s="145"/>
    </row>
    <row r="44" spans="1:23" ht="27.75" customHeight="1" thickBot="1" x14ac:dyDescent="0.4">
      <c r="A44" s="146"/>
      <c r="B44" s="145"/>
      <c r="C44" s="146"/>
      <c r="D44" s="153"/>
      <c r="E44" s="146"/>
      <c r="F44" s="146"/>
      <c r="G44" s="146"/>
      <c r="H44" s="146"/>
      <c r="I44" s="146"/>
      <c r="J44" s="146"/>
      <c r="K44" s="146"/>
      <c r="L44" s="146"/>
      <c r="M44" s="146"/>
      <c r="N44" s="146"/>
      <c r="O44" s="146"/>
      <c r="P44" s="26">
        <v>2</v>
      </c>
      <c r="Q44" s="27" t="s">
        <v>127</v>
      </c>
      <c r="R44" s="28" t="s">
        <v>128</v>
      </c>
      <c r="S44" s="127"/>
      <c r="T44" s="29"/>
      <c r="U44" s="146"/>
      <c r="V44" s="146"/>
      <c r="W44" s="146"/>
    </row>
    <row r="45" spans="1:23" ht="15.75" customHeight="1" thickBot="1" x14ac:dyDescent="0.4">
      <c r="A45" s="148"/>
      <c r="B45" s="145"/>
      <c r="C45" s="177" t="s">
        <v>130</v>
      </c>
      <c r="D45" s="156" t="s">
        <v>131</v>
      </c>
      <c r="E45" s="155" t="s">
        <v>69</v>
      </c>
      <c r="F45" s="155" t="s">
        <v>132</v>
      </c>
      <c r="G45" s="155" t="s">
        <v>133</v>
      </c>
      <c r="H45" s="155"/>
      <c r="I45" s="149"/>
      <c r="J45" s="155" t="s">
        <v>29</v>
      </c>
      <c r="K45" s="160">
        <v>0.03</v>
      </c>
      <c r="L45" s="155"/>
      <c r="M45" s="149"/>
      <c r="N45" s="155" t="s">
        <v>134</v>
      </c>
      <c r="O45" s="155" t="s">
        <v>135</v>
      </c>
      <c r="P45" s="12">
        <v>1</v>
      </c>
      <c r="Q45" s="13" t="s">
        <v>136</v>
      </c>
      <c r="R45" s="12" t="s">
        <v>29</v>
      </c>
      <c r="S45" s="123">
        <v>0.01</v>
      </c>
      <c r="T45" s="14">
        <f>S45/SUM(S45:S48)</f>
        <v>0.33333333333333337</v>
      </c>
      <c r="U45" s="144"/>
      <c r="V45" s="151"/>
      <c r="W45" s="144"/>
    </row>
    <row r="46" spans="1:23" ht="15.75" customHeight="1" thickBot="1" x14ac:dyDescent="0.4">
      <c r="A46" s="146"/>
      <c r="B46" s="153"/>
      <c r="C46" s="145"/>
      <c r="D46" s="145"/>
      <c r="E46" s="145"/>
      <c r="F46" s="145"/>
      <c r="G46" s="145"/>
      <c r="H46" s="145"/>
      <c r="I46" s="145"/>
      <c r="J46" s="145"/>
      <c r="K46" s="145"/>
      <c r="L46" s="145"/>
      <c r="M46" s="145"/>
      <c r="N46" s="145"/>
      <c r="O46" s="145"/>
      <c r="P46" s="9">
        <v>2</v>
      </c>
      <c r="Q46" s="10" t="s">
        <v>137</v>
      </c>
      <c r="R46" s="9" t="s">
        <v>29</v>
      </c>
      <c r="S46" s="122">
        <v>0.01</v>
      </c>
      <c r="T46" s="11">
        <f>S46/SUM(S45:S48)</f>
        <v>0.33333333333333337</v>
      </c>
      <c r="U46" s="146"/>
      <c r="V46" s="146"/>
      <c r="W46" s="146"/>
    </row>
    <row r="47" spans="1:23" ht="27.75" customHeight="1" thickBot="1" x14ac:dyDescent="0.4">
      <c r="A47" s="148"/>
      <c r="B47" s="175" t="s">
        <v>129</v>
      </c>
      <c r="C47" s="145"/>
      <c r="D47" s="145"/>
      <c r="E47" s="145"/>
      <c r="F47" s="145"/>
      <c r="G47" s="145"/>
      <c r="H47" s="145"/>
      <c r="I47" s="145"/>
      <c r="J47" s="145"/>
      <c r="K47" s="145"/>
      <c r="L47" s="145"/>
      <c r="M47" s="145"/>
      <c r="N47" s="145"/>
      <c r="O47" s="145"/>
      <c r="P47" s="9">
        <v>4</v>
      </c>
      <c r="Q47" s="10" t="s">
        <v>138</v>
      </c>
      <c r="R47" s="9" t="s">
        <v>29</v>
      </c>
      <c r="S47" s="122">
        <v>0.01</v>
      </c>
      <c r="T47" s="11">
        <f>S47/SUM(S45:S48)</f>
        <v>0.33333333333333337</v>
      </c>
      <c r="U47" s="155"/>
      <c r="V47" s="149"/>
      <c r="W47" s="155"/>
    </row>
    <row r="48" spans="1:23" ht="27.75" customHeight="1" thickBot="1" x14ac:dyDescent="0.4">
      <c r="A48" s="145"/>
      <c r="B48" s="145"/>
      <c r="C48" s="146"/>
      <c r="D48" s="153"/>
      <c r="E48" s="146"/>
      <c r="F48" s="146"/>
      <c r="G48" s="146"/>
      <c r="H48" s="146"/>
      <c r="I48" s="146"/>
      <c r="J48" s="146"/>
      <c r="K48" s="146"/>
      <c r="L48" s="146"/>
      <c r="M48" s="146"/>
      <c r="N48" s="146"/>
      <c r="O48" s="146"/>
      <c r="P48" s="26">
        <v>3</v>
      </c>
      <c r="Q48" s="27" t="s">
        <v>139</v>
      </c>
      <c r="R48" s="28" t="s">
        <v>128</v>
      </c>
      <c r="S48" s="127"/>
      <c r="T48" s="29"/>
      <c r="U48" s="145"/>
      <c r="V48" s="145"/>
      <c r="W48" s="145"/>
    </row>
    <row r="49" spans="1:23" ht="27.75" customHeight="1" thickBot="1" x14ac:dyDescent="0.4">
      <c r="A49" s="145"/>
      <c r="B49" s="145"/>
      <c r="C49" s="177" t="s">
        <v>140</v>
      </c>
      <c r="D49" s="156" t="s">
        <v>141</v>
      </c>
      <c r="E49" s="155" t="s">
        <v>142</v>
      </c>
      <c r="F49" s="155" t="s">
        <v>143</v>
      </c>
      <c r="G49" s="155" t="s">
        <v>144</v>
      </c>
      <c r="H49" s="155" t="s">
        <v>145</v>
      </c>
      <c r="I49" s="160">
        <v>0.1</v>
      </c>
      <c r="J49" s="155" t="s">
        <v>29</v>
      </c>
      <c r="K49" s="160">
        <v>0.02</v>
      </c>
      <c r="L49" s="155"/>
      <c r="M49" s="149"/>
      <c r="N49" s="155" t="s">
        <v>146</v>
      </c>
      <c r="O49" s="155" t="s">
        <v>147</v>
      </c>
      <c r="P49" s="12">
        <v>1</v>
      </c>
      <c r="Q49" s="13" t="s">
        <v>148</v>
      </c>
      <c r="R49" s="12" t="s">
        <v>29</v>
      </c>
      <c r="S49" s="123">
        <v>0.01</v>
      </c>
      <c r="T49" s="14">
        <f>S49/SUM(S49:S52)</f>
        <v>8.3333333333333343E-2</v>
      </c>
      <c r="U49" s="145"/>
      <c r="V49" s="145"/>
      <c r="W49" s="145"/>
    </row>
    <row r="50" spans="1:23" ht="27.75" customHeight="1" thickBot="1" x14ac:dyDescent="0.4">
      <c r="A50" s="146"/>
      <c r="B50" s="145"/>
      <c r="C50" s="145"/>
      <c r="D50" s="145"/>
      <c r="E50" s="145"/>
      <c r="F50" s="145"/>
      <c r="G50" s="145"/>
      <c r="H50" s="145"/>
      <c r="I50" s="145"/>
      <c r="J50" s="145"/>
      <c r="K50" s="145"/>
      <c r="L50" s="145"/>
      <c r="M50" s="145"/>
      <c r="N50" s="145"/>
      <c r="O50" s="145"/>
      <c r="P50" s="23">
        <v>2</v>
      </c>
      <c r="Q50" s="24" t="s">
        <v>150</v>
      </c>
      <c r="R50" s="23" t="s">
        <v>33</v>
      </c>
      <c r="S50" s="125">
        <v>0.1</v>
      </c>
      <c r="T50" s="25">
        <f>S50/SUM(S49:S52)</f>
        <v>0.83333333333333337</v>
      </c>
      <c r="U50" s="146"/>
      <c r="V50" s="146"/>
      <c r="W50" s="146"/>
    </row>
    <row r="51" spans="1:23" ht="27.75" customHeight="1" x14ac:dyDescent="0.35">
      <c r="A51" s="148"/>
      <c r="B51" s="145"/>
      <c r="C51" s="145"/>
      <c r="D51" s="145"/>
      <c r="E51" s="145"/>
      <c r="F51" s="145"/>
      <c r="G51" s="145"/>
      <c r="H51" s="145"/>
      <c r="I51" s="145"/>
      <c r="J51" s="145"/>
      <c r="K51" s="145"/>
      <c r="L51" s="145"/>
      <c r="M51" s="145"/>
      <c r="N51" s="145"/>
      <c r="O51" s="145"/>
      <c r="P51" s="9">
        <v>4</v>
      </c>
      <c r="Q51" s="10" t="s">
        <v>151</v>
      </c>
      <c r="R51" s="9" t="s">
        <v>29</v>
      </c>
      <c r="S51" s="122">
        <v>0.01</v>
      </c>
      <c r="T51" s="11">
        <f>S51/SUM(S49:S52)</f>
        <v>8.3333333333333343E-2</v>
      </c>
      <c r="U51" s="155" t="s">
        <v>149</v>
      </c>
      <c r="V51" s="149"/>
      <c r="W51" s="155"/>
    </row>
    <row r="52" spans="1:23" ht="27.75" customHeight="1" thickBot="1" x14ac:dyDescent="0.4">
      <c r="A52" s="145"/>
      <c r="B52" s="145"/>
      <c r="C52" s="146"/>
      <c r="D52" s="153"/>
      <c r="E52" s="146"/>
      <c r="F52" s="146"/>
      <c r="G52" s="146"/>
      <c r="H52" s="146"/>
      <c r="I52" s="146"/>
      <c r="J52" s="146"/>
      <c r="K52" s="146"/>
      <c r="L52" s="146"/>
      <c r="M52" s="146"/>
      <c r="N52" s="146"/>
      <c r="O52" s="146"/>
      <c r="P52" s="26">
        <v>3</v>
      </c>
      <c r="Q52" s="27" t="s">
        <v>152</v>
      </c>
      <c r="R52" s="28" t="s">
        <v>128</v>
      </c>
      <c r="S52" s="127"/>
      <c r="T52" s="29"/>
      <c r="U52" s="145"/>
      <c r="V52" s="145"/>
      <c r="W52" s="145"/>
    </row>
    <row r="53" spans="1:23" ht="27.75" customHeight="1" thickBot="1" x14ac:dyDescent="0.4">
      <c r="A53" s="145"/>
      <c r="B53" s="145"/>
      <c r="C53" s="177" t="s">
        <v>153</v>
      </c>
      <c r="D53" s="156" t="s">
        <v>24</v>
      </c>
      <c r="E53" s="155" t="s">
        <v>154</v>
      </c>
      <c r="F53" s="155" t="s">
        <v>155</v>
      </c>
      <c r="G53" s="155" t="s">
        <v>156</v>
      </c>
      <c r="H53" s="155"/>
      <c r="I53" s="149"/>
      <c r="J53" s="155" t="s">
        <v>29</v>
      </c>
      <c r="K53" s="160">
        <v>0.03</v>
      </c>
      <c r="L53" s="155"/>
      <c r="M53" s="149"/>
      <c r="N53" s="155" t="s">
        <v>157</v>
      </c>
      <c r="O53" s="155" t="s">
        <v>158</v>
      </c>
      <c r="P53" s="12">
        <v>1</v>
      </c>
      <c r="Q53" s="13" t="s">
        <v>159</v>
      </c>
      <c r="R53" s="12" t="s">
        <v>29</v>
      </c>
      <c r="S53" s="123">
        <v>0.01</v>
      </c>
      <c r="T53" s="14">
        <f>S53/SUM(S53:S56)</f>
        <v>0.33333333333333337</v>
      </c>
      <c r="U53" s="145"/>
      <c r="V53" s="145"/>
      <c r="W53" s="145"/>
    </row>
    <row r="54" spans="1:23" ht="15.75" customHeight="1" thickBot="1" x14ac:dyDescent="0.4">
      <c r="A54" s="146"/>
      <c r="B54" s="145"/>
      <c r="C54" s="145"/>
      <c r="D54" s="145"/>
      <c r="E54" s="145"/>
      <c r="F54" s="145"/>
      <c r="G54" s="145"/>
      <c r="H54" s="145"/>
      <c r="I54" s="145"/>
      <c r="J54" s="145"/>
      <c r="K54" s="145"/>
      <c r="L54" s="145"/>
      <c r="M54" s="145"/>
      <c r="N54" s="145"/>
      <c r="O54" s="145"/>
      <c r="P54" s="9">
        <v>2</v>
      </c>
      <c r="Q54" s="10" t="s">
        <v>160</v>
      </c>
      <c r="R54" s="9" t="s">
        <v>29</v>
      </c>
      <c r="S54" s="122">
        <v>0.01</v>
      </c>
      <c r="T54" s="11">
        <f>S54/SUM(S53:S56)</f>
        <v>0.33333333333333337</v>
      </c>
      <c r="U54" s="146"/>
      <c r="V54" s="146"/>
      <c r="W54" s="146"/>
    </row>
    <row r="55" spans="1:23" ht="27.75" customHeight="1" x14ac:dyDescent="0.35">
      <c r="A55" s="148"/>
      <c r="B55" s="145"/>
      <c r="C55" s="145"/>
      <c r="D55" s="145"/>
      <c r="E55" s="145"/>
      <c r="F55" s="145"/>
      <c r="G55" s="145"/>
      <c r="H55" s="145"/>
      <c r="I55" s="145"/>
      <c r="J55" s="145"/>
      <c r="K55" s="145"/>
      <c r="L55" s="145"/>
      <c r="M55" s="145"/>
      <c r="N55" s="145"/>
      <c r="O55" s="145"/>
      <c r="P55" s="9">
        <v>3</v>
      </c>
      <c r="Q55" s="10" t="s">
        <v>161</v>
      </c>
      <c r="R55" s="9" t="s">
        <v>29</v>
      </c>
      <c r="S55" s="122">
        <v>0.01</v>
      </c>
      <c r="T55" s="11">
        <f>S55/SUM(S53:S56)</f>
        <v>0.33333333333333337</v>
      </c>
      <c r="U55" s="155"/>
      <c r="V55" s="149"/>
      <c r="W55" s="155"/>
    </row>
    <row r="56" spans="1:23" ht="27.75" customHeight="1" thickBot="1" x14ac:dyDescent="0.4">
      <c r="A56" s="145"/>
      <c r="B56" s="145"/>
      <c r="C56" s="146"/>
      <c r="D56" s="153"/>
      <c r="E56" s="146"/>
      <c r="F56" s="146"/>
      <c r="G56" s="146"/>
      <c r="H56" s="146"/>
      <c r="I56" s="146"/>
      <c r="J56" s="146"/>
      <c r="K56" s="146"/>
      <c r="L56" s="146"/>
      <c r="M56" s="146"/>
      <c r="N56" s="146"/>
      <c r="O56" s="146"/>
      <c r="P56" s="26">
        <v>4</v>
      </c>
      <c r="Q56" s="27" t="s">
        <v>162</v>
      </c>
      <c r="R56" s="28" t="s">
        <v>128</v>
      </c>
      <c r="S56" s="127"/>
      <c r="T56" s="29"/>
      <c r="U56" s="145"/>
      <c r="V56" s="145"/>
      <c r="W56" s="145"/>
    </row>
    <row r="57" spans="1:23" ht="27.75" customHeight="1" thickBot="1" x14ac:dyDescent="0.4">
      <c r="A57" s="145"/>
      <c r="B57" s="145"/>
      <c r="C57" s="162" t="s">
        <v>164</v>
      </c>
      <c r="D57" s="169" t="s">
        <v>24</v>
      </c>
      <c r="E57" s="147" t="s">
        <v>165</v>
      </c>
      <c r="F57" s="147" t="s">
        <v>166</v>
      </c>
      <c r="G57" s="147" t="s">
        <v>59</v>
      </c>
      <c r="H57" s="147" t="s">
        <v>145</v>
      </c>
      <c r="I57" s="161">
        <v>0.2</v>
      </c>
      <c r="J57" s="147" t="s">
        <v>29</v>
      </c>
      <c r="K57" s="161">
        <v>0.04</v>
      </c>
      <c r="L57" s="147"/>
      <c r="M57" s="159"/>
      <c r="N57" s="147" t="s">
        <v>167</v>
      </c>
      <c r="O57" s="147" t="s">
        <v>168</v>
      </c>
      <c r="P57" s="12">
        <v>1</v>
      </c>
      <c r="Q57" s="13" t="s">
        <v>169</v>
      </c>
      <c r="R57" s="12" t="s">
        <v>29</v>
      </c>
      <c r="S57" s="123">
        <v>0.01</v>
      </c>
      <c r="T57" s="14">
        <f>S57/SUM(S57:S62)</f>
        <v>4.1666666666666657E-2</v>
      </c>
      <c r="U57" s="145"/>
      <c r="V57" s="145"/>
      <c r="W57" s="145"/>
    </row>
    <row r="58" spans="1:23" ht="15.75" customHeight="1" thickBot="1" x14ac:dyDescent="0.4">
      <c r="A58" s="146"/>
      <c r="B58" s="153"/>
      <c r="C58" s="145"/>
      <c r="D58" s="145"/>
      <c r="E58" s="145"/>
      <c r="F58" s="145"/>
      <c r="G58" s="145"/>
      <c r="H58" s="145"/>
      <c r="I58" s="145"/>
      <c r="J58" s="145"/>
      <c r="K58" s="145"/>
      <c r="L58" s="145"/>
      <c r="M58" s="145"/>
      <c r="N58" s="145"/>
      <c r="O58" s="145"/>
      <c r="P58" s="23">
        <v>2</v>
      </c>
      <c r="Q58" s="24" t="s">
        <v>170</v>
      </c>
      <c r="R58" s="23" t="s">
        <v>33</v>
      </c>
      <c r="S58" s="125">
        <v>0.2</v>
      </c>
      <c r="T58" s="25">
        <f>S58/SUM(S57:S62)</f>
        <v>0.83333333333333326</v>
      </c>
      <c r="U58" s="146"/>
      <c r="V58" s="146"/>
      <c r="W58" s="146"/>
    </row>
    <row r="59" spans="1:23" ht="27.75" customHeight="1" thickBot="1" x14ac:dyDescent="0.4">
      <c r="A59" s="148"/>
      <c r="B59" s="168" t="s">
        <v>163</v>
      </c>
      <c r="C59" s="145"/>
      <c r="D59" s="145"/>
      <c r="E59" s="145"/>
      <c r="F59" s="145"/>
      <c r="G59" s="145"/>
      <c r="H59" s="145"/>
      <c r="I59" s="145"/>
      <c r="J59" s="145"/>
      <c r="K59" s="145"/>
      <c r="L59" s="145"/>
      <c r="M59" s="145"/>
      <c r="N59" s="145"/>
      <c r="O59" s="145"/>
      <c r="P59" s="9">
        <v>3</v>
      </c>
      <c r="Q59" s="10" t="s">
        <v>171</v>
      </c>
      <c r="R59" s="9" t="s">
        <v>29</v>
      </c>
      <c r="S59" s="122">
        <v>0.01</v>
      </c>
      <c r="T59" s="11">
        <f>S59/SUM(S57:S62)</f>
        <v>4.1666666666666657E-2</v>
      </c>
      <c r="U59" s="147"/>
      <c r="V59" s="159"/>
      <c r="W59" s="147"/>
    </row>
    <row r="60" spans="1:23" ht="27.75" customHeight="1" x14ac:dyDescent="0.35">
      <c r="A60" s="145"/>
      <c r="B60" s="145"/>
      <c r="C60" s="145"/>
      <c r="D60" s="145"/>
      <c r="E60" s="145"/>
      <c r="F60" s="145"/>
      <c r="G60" s="145"/>
      <c r="H60" s="145"/>
      <c r="I60" s="145"/>
      <c r="J60" s="145"/>
      <c r="K60" s="145"/>
      <c r="L60" s="145"/>
      <c r="M60" s="145"/>
      <c r="N60" s="145"/>
      <c r="O60" s="145"/>
      <c r="P60" s="9">
        <v>4</v>
      </c>
      <c r="Q60" s="10" t="s">
        <v>172</v>
      </c>
      <c r="R60" s="9" t="s">
        <v>29</v>
      </c>
      <c r="S60" s="122">
        <v>0.01</v>
      </c>
      <c r="T60" s="11">
        <f>S60/SUM(S57:S62)</f>
        <v>4.1666666666666657E-2</v>
      </c>
      <c r="U60" s="145"/>
      <c r="V60" s="145"/>
      <c r="W60" s="145"/>
    </row>
    <row r="61" spans="1:23" ht="27.75" customHeight="1" x14ac:dyDescent="0.35">
      <c r="A61" s="145"/>
      <c r="B61" s="145"/>
      <c r="C61" s="145"/>
      <c r="D61" s="145"/>
      <c r="E61" s="145"/>
      <c r="F61" s="145"/>
      <c r="G61" s="145"/>
      <c r="H61" s="145"/>
      <c r="I61" s="145"/>
      <c r="J61" s="145"/>
      <c r="K61" s="145"/>
      <c r="L61" s="145"/>
      <c r="M61" s="145"/>
      <c r="N61" s="145"/>
      <c r="O61" s="145"/>
      <c r="P61" s="9">
        <v>5</v>
      </c>
      <c r="Q61" s="10" t="s">
        <v>173</v>
      </c>
      <c r="R61" s="9" t="s">
        <v>29</v>
      </c>
      <c r="S61" s="122">
        <v>0.01</v>
      </c>
      <c r="T61" s="11">
        <f>S61/SUM(S57:S62)</f>
        <v>4.1666666666666657E-2</v>
      </c>
      <c r="U61" s="145"/>
      <c r="V61" s="145"/>
      <c r="W61" s="145"/>
    </row>
    <row r="62" spans="1:23" ht="27.75" customHeight="1" thickBot="1" x14ac:dyDescent="0.4">
      <c r="A62" s="145"/>
      <c r="B62" s="145"/>
      <c r="C62" s="146"/>
      <c r="D62" s="153"/>
      <c r="E62" s="146"/>
      <c r="F62" s="146"/>
      <c r="G62" s="146"/>
      <c r="H62" s="146"/>
      <c r="I62" s="146"/>
      <c r="J62" s="146"/>
      <c r="K62" s="146"/>
      <c r="L62" s="146"/>
      <c r="M62" s="146"/>
      <c r="N62" s="146"/>
      <c r="O62" s="146"/>
      <c r="P62" s="26">
        <v>6</v>
      </c>
      <c r="Q62" s="27" t="s">
        <v>174</v>
      </c>
      <c r="R62" s="28" t="s">
        <v>128</v>
      </c>
      <c r="S62" s="127"/>
      <c r="T62" s="29"/>
      <c r="U62" s="145"/>
      <c r="V62" s="145"/>
      <c r="W62" s="145"/>
    </row>
    <row r="63" spans="1:23" ht="27.75" customHeight="1" thickBot="1" x14ac:dyDescent="0.4">
      <c r="A63" s="145"/>
      <c r="B63" s="145"/>
      <c r="C63" s="162" t="s">
        <v>175</v>
      </c>
      <c r="D63" s="169" t="s">
        <v>24</v>
      </c>
      <c r="E63" s="147" t="s">
        <v>165</v>
      </c>
      <c r="F63" s="147" t="s">
        <v>166</v>
      </c>
      <c r="G63" s="147" t="s">
        <v>59</v>
      </c>
      <c r="H63" s="147" t="s">
        <v>145</v>
      </c>
      <c r="I63" s="161">
        <v>0.2</v>
      </c>
      <c r="J63" s="147" t="s">
        <v>29</v>
      </c>
      <c r="K63" s="161">
        <v>0.03</v>
      </c>
      <c r="L63" s="147"/>
      <c r="M63" s="159"/>
      <c r="N63" s="147" t="s">
        <v>176</v>
      </c>
      <c r="O63" s="147" t="s">
        <v>177</v>
      </c>
      <c r="P63" s="12">
        <v>1</v>
      </c>
      <c r="Q63" s="13" t="s">
        <v>178</v>
      </c>
      <c r="R63" s="12" t="s">
        <v>29</v>
      </c>
      <c r="S63" s="123">
        <v>6.0000000000000001E-3</v>
      </c>
      <c r="T63" s="14">
        <f>S63/SUM(S63:S69)</f>
        <v>2.6086956521739126E-2</v>
      </c>
      <c r="U63" s="145"/>
      <c r="V63" s="145"/>
      <c r="W63" s="145"/>
    </row>
    <row r="64" spans="1:23" ht="15.75" customHeight="1" thickBot="1" x14ac:dyDescent="0.4">
      <c r="A64" s="146"/>
      <c r="B64" s="145"/>
      <c r="C64" s="145"/>
      <c r="D64" s="145"/>
      <c r="E64" s="145"/>
      <c r="F64" s="145"/>
      <c r="G64" s="145"/>
      <c r="H64" s="145"/>
      <c r="I64" s="145"/>
      <c r="J64" s="145"/>
      <c r="K64" s="145"/>
      <c r="L64" s="145"/>
      <c r="M64" s="145"/>
      <c r="N64" s="145"/>
      <c r="O64" s="145"/>
      <c r="P64" s="23">
        <v>2</v>
      </c>
      <c r="Q64" s="24" t="s">
        <v>179</v>
      </c>
      <c r="R64" s="23" t="s">
        <v>33</v>
      </c>
      <c r="S64" s="125">
        <v>0.2</v>
      </c>
      <c r="T64" s="25">
        <f>S64/SUM(S63:S69)</f>
        <v>0.86956521739130421</v>
      </c>
      <c r="U64" s="146"/>
      <c r="V64" s="146"/>
      <c r="W64" s="146"/>
    </row>
    <row r="65" spans="1:23" ht="42" customHeight="1" x14ac:dyDescent="0.35">
      <c r="A65" s="148"/>
      <c r="B65" s="145"/>
      <c r="C65" s="145"/>
      <c r="D65" s="145"/>
      <c r="E65" s="145"/>
      <c r="F65" s="145"/>
      <c r="G65" s="145"/>
      <c r="H65" s="145"/>
      <c r="I65" s="145"/>
      <c r="J65" s="145"/>
      <c r="K65" s="145"/>
      <c r="L65" s="145"/>
      <c r="M65" s="145"/>
      <c r="N65" s="145"/>
      <c r="O65" s="145"/>
      <c r="P65" s="9">
        <v>3</v>
      </c>
      <c r="Q65" s="10" t="s">
        <v>180</v>
      </c>
      <c r="R65" s="9" t="s">
        <v>29</v>
      </c>
      <c r="S65" s="122">
        <v>6.0000000000000001E-3</v>
      </c>
      <c r="T65" s="11">
        <f>S65/SUM(S63:S69)</f>
        <v>2.6086956521739126E-2</v>
      </c>
      <c r="U65" s="147"/>
      <c r="V65" s="159"/>
      <c r="W65" s="147"/>
    </row>
    <row r="66" spans="1:23" ht="27.75" customHeight="1" x14ac:dyDescent="0.35">
      <c r="A66" s="145"/>
      <c r="B66" s="145"/>
      <c r="C66" s="145"/>
      <c r="D66" s="145"/>
      <c r="E66" s="145"/>
      <c r="F66" s="145"/>
      <c r="G66" s="145"/>
      <c r="H66" s="145"/>
      <c r="I66" s="145"/>
      <c r="J66" s="145"/>
      <c r="K66" s="145"/>
      <c r="L66" s="145"/>
      <c r="M66" s="145"/>
      <c r="N66" s="145"/>
      <c r="O66" s="145"/>
      <c r="P66" s="9">
        <v>4</v>
      </c>
      <c r="Q66" s="10" t="s">
        <v>181</v>
      </c>
      <c r="R66" s="9" t="s">
        <v>29</v>
      </c>
      <c r="S66" s="122">
        <v>6.0000000000000001E-3</v>
      </c>
      <c r="T66" s="11">
        <f>S66/SUM(S63:S69)</f>
        <v>2.6086956521739126E-2</v>
      </c>
      <c r="U66" s="145"/>
      <c r="V66" s="145"/>
      <c r="W66" s="145"/>
    </row>
    <row r="67" spans="1:23" ht="27.75" customHeight="1" x14ac:dyDescent="0.35">
      <c r="A67" s="145"/>
      <c r="B67" s="145"/>
      <c r="C67" s="145"/>
      <c r="D67" s="145"/>
      <c r="E67" s="145"/>
      <c r="F67" s="145"/>
      <c r="G67" s="145"/>
      <c r="H67" s="145"/>
      <c r="I67" s="145"/>
      <c r="J67" s="145"/>
      <c r="K67" s="145"/>
      <c r="L67" s="145"/>
      <c r="M67" s="145"/>
      <c r="N67" s="145"/>
      <c r="O67" s="145"/>
      <c r="P67" s="9">
        <v>5</v>
      </c>
      <c r="Q67" s="10" t="s">
        <v>182</v>
      </c>
      <c r="R67" s="9" t="s">
        <v>29</v>
      </c>
      <c r="S67" s="122">
        <v>6.0000000000000001E-3</v>
      </c>
      <c r="T67" s="11">
        <f>S67/SUM(S63:S69)</f>
        <v>2.6086956521739126E-2</v>
      </c>
      <c r="U67" s="145"/>
      <c r="V67" s="145"/>
      <c r="W67" s="145"/>
    </row>
    <row r="68" spans="1:23" ht="27.75" customHeight="1" x14ac:dyDescent="0.35">
      <c r="A68" s="145"/>
      <c r="B68" s="145"/>
      <c r="C68" s="145"/>
      <c r="D68" s="145"/>
      <c r="E68" s="145"/>
      <c r="F68" s="145"/>
      <c r="G68" s="145"/>
      <c r="H68" s="145"/>
      <c r="I68" s="145"/>
      <c r="J68" s="145"/>
      <c r="K68" s="145"/>
      <c r="L68" s="145"/>
      <c r="M68" s="145"/>
      <c r="N68" s="145"/>
      <c r="O68" s="145"/>
      <c r="P68" s="9">
        <v>6</v>
      </c>
      <c r="Q68" s="10" t="s">
        <v>183</v>
      </c>
      <c r="R68" s="9" t="s">
        <v>29</v>
      </c>
      <c r="S68" s="122">
        <v>6.0000000000000001E-3</v>
      </c>
      <c r="T68" s="11">
        <f>S68/SUM(S63:S69)</f>
        <v>2.6086956521739126E-2</v>
      </c>
      <c r="U68" s="145"/>
      <c r="V68" s="145"/>
      <c r="W68" s="145"/>
    </row>
    <row r="69" spans="1:23" ht="27.75" customHeight="1" thickBot="1" x14ac:dyDescent="0.4">
      <c r="A69" s="145"/>
      <c r="B69" s="145"/>
      <c r="C69" s="146"/>
      <c r="D69" s="153"/>
      <c r="E69" s="146"/>
      <c r="F69" s="146"/>
      <c r="G69" s="146"/>
      <c r="H69" s="146"/>
      <c r="I69" s="146"/>
      <c r="J69" s="146"/>
      <c r="K69" s="146"/>
      <c r="L69" s="146"/>
      <c r="M69" s="146"/>
      <c r="N69" s="146"/>
      <c r="O69" s="146"/>
      <c r="P69" s="26">
        <v>7</v>
      </c>
      <c r="Q69" s="27" t="s">
        <v>174</v>
      </c>
      <c r="R69" s="28" t="s">
        <v>128</v>
      </c>
      <c r="S69" s="127"/>
      <c r="T69" s="29"/>
      <c r="U69" s="145"/>
      <c r="V69" s="145"/>
      <c r="W69" s="145"/>
    </row>
    <row r="70" spans="1:23" ht="27.75" customHeight="1" thickBot="1" x14ac:dyDescent="0.4">
      <c r="A70" s="145"/>
      <c r="B70" s="145"/>
      <c r="C70" s="162" t="s">
        <v>184</v>
      </c>
      <c r="D70" s="169" t="s">
        <v>24</v>
      </c>
      <c r="E70" s="147" t="s">
        <v>165</v>
      </c>
      <c r="F70" s="147" t="s">
        <v>185</v>
      </c>
      <c r="G70" s="147" t="s">
        <v>59</v>
      </c>
      <c r="H70" s="147"/>
      <c r="I70" s="159"/>
      <c r="J70" s="147" t="s">
        <v>29</v>
      </c>
      <c r="K70" s="161">
        <v>0.03</v>
      </c>
      <c r="L70" s="147"/>
      <c r="M70" s="159"/>
      <c r="N70" s="147" t="s">
        <v>186</v>
      </c>
      <c r="O70" s="147" t="s">
        <v>187</v>
      </c>
      <c r="P70" s="12">
        <v>1</v>
      </c>
      <c r="Q70" s="13" t="s">
        <v>188</v>
      </c>
      <c r="R70" s="12" t="s">
        <v>29</v>
      </c>
      <c r="S70" s="123">
        <v>7.4999999999999997E-3</v>
      </c>
      <c r="T70" s="14">
        <f>S70/SUM(S70:S73)</f>
        <v>0.25</v>
      </c>
      <c r="U70" s="145"/>
      <c r="V70" s="145"/>
      <c r="W70" s="145"/>
    </row>
    <row r="71" spans="1:23" ht="15.75" customHeight="1" thickBot="1" x14ac:dyDescent="0.4">
      <c r="A71" s="146"/>
      <c r="B71" s="145"/>
      <c r="C71" s="145"/>
      <c r="D71" s="145"/>
      <c r="E71" s="145"/>
      <c r="F71" s="145"/>
      <c r="G71" s="145"/>
      <c r="H71" s="145"/>
      <c r="I71" s="145"/>
      <c r="J71" s="145"/>
      <c r="K71" s="145"/>
      <c r="L71" s="145"/>
      <c r="M71" s="145"/>
      <c r="N71" s="145"/>
      <c r="O71" s="145"/>
      <c r="P71" s="9">
        <v>2</v>
      </c>
      <c r="Q71" s="10" t="s">
        <v>189</v>
      </c>
      <c r="R71" s="9" t="s">
        <v>29</v>
      </c>
      <c r="S71" s="122">
        <v>7.4999999999999997E-3</v>
      </c>
      <c r="T71" s="11">
        <f>S71/SUM(S70:S73)</f>
        <v>0.25</v>
      </c>
      <c r="U71" s="146"/>
      <c r="V71" s="146"/>
      <c r="W71" s="146"/>
    </row>
    <row r="72" spans="1:23" ht="27.75" customHeight="1" x14ac:dyDescent="0.35">
      <c r="A72" s="148"/>
      <c r="B72" s="145"/>
      <c r="C72" s="145"/>
      <c r="D72" s="145"/>
      <c r="E72" s="145"/>
      <c r="F72" s="145"/>
      <c r="G72" s="145"/>
      <c r="H72" s="145"/>
      <c r="I72" s="145"/>
      <c r="J72" s="145"/>
      <c r="K72" s="145"/>
      <c r="L72" s="145"/>
      <c r="M72" s="145"/>
      <c r="N72" s="145"/>
      <c r="O72" s="145"/>
      <c r="P72" s="9">
        <v>3</v>
      </c>
      <c r="Q72" s="10" t="s">
        <v>190</v>
      </c>
      <c r="R72" s="9" t="s">
        <v>29</v>
      </c>
      <c r="S72" s="122">
        <v>7.4999999999999997E-3</v>
      </c>
      <c r="T72" s="11">
        <f>S72/SUM(S70:S73)</f>
        <v>0.25</v>
      </c>
      <c r="U72" s="147"/>
      <c r="V72" s="159"/>
      <c r="W72" s="147"/>
    </row>
    <row r="73" spans="1:23" ht="27.75" customHeight="1" thickBot="1" x14ac:dyDescent="0.4">
      <c r="A73" s="145"/>
      <c r="B73" s="145"/>
      <c r="C73" s="146"/>
      <c r="D73" s="153"/>
      <c r="E73" s="146"/>
      <c r="F73" s="146"/>
      <c r="G73" s="146"/>
      <c r="H73" s="146"/>
      <c r="I73" s="146"/>
      <c r="J73" s="146"/>
      <c r="K73" s="146"/>
      <c r="L73" s="146"/>
      <c r="M73" s="146"/>
      <c r="N73" s="146"/>
      <c r="O73" s="146"/>
      <c r="P73" s="9">
        <v>4</v>
      </c>
      <c r="Q73" s="10" t="s">
        <v>191</v>
      </c>
      <c r="R73" s="9" t="s">
        <v>29</v>
      </c>
      <c r="S73" s="122">
        <v>7.4999999999999997E-3</v>
      </c>
      <c r="T73" s="11">
        <f>S73/SUM(S70:S73)</f>
        <v>0.25</v>
      </c>
      <c r="U73" s="145"/>
      <c r="V73" s="145"/>
      <c r="W73" s="145"/>
    </row>
    <row r="74" spans="1:23" ht="27.75" customHeight="1" thickBot="1" x14ac:dyDescent="0.4">
      <c r="A74" s="145"/>
      <c r="B74" s="145"/>
      <c r="C74" s="162" t="s">
        <v>192</v>
      </c>
      <c r="D74" s="169" t="s">
        <v>24</v>
      </c>
      <c r="E74" s="147" t="s">
        <v>165</v>
      </c>
      <c r="F74" s="147" t="s">
        <v>166</v>
      </c>
      <c r="G74" s="147" t="s">
        <v>59</v>
      </c>
      <c r="H74" s="147" t="s">
        <v>145</v>
      </c>
      <c r="I74" s="161">
        <v>0.2</v>
      </c>
      <c r="J74" s="147" t="s">
        <v>29</v>
      </c>
      <c r="K74" s="161">
        <v>0.04</v>
      </c>
      <c r="L74" s="147"/>
      <c r="M74" s="159"/>
      <c r="N74" s="147" t="s">
        <v>193</v>
      </c>
      <c r="O74" s="147" t="s">
        <v>194</v>
      </c>
      <c r="P74" s="12">
        <v>1</v>
      </c>
      <c r="Q74" s="13" t="s">
        <v>195</v>
      </c>
      <c r="R74" s="12" t="s">
        <v>29</v>
      </c>
      <c r="S74" s="123">
        <v>1.333E-2</v>
      </c>
      <c r="T74" s="14">
        <f>S74/SUM(S74:S78)</f>
        <v>5.5543980999208292E-2</v>
      </c>
      <c r="U74" s="145"/>
      <c r="V74" s="145"/>
      <c r="W74" s="145"/>
    </row>
    <row r="75" spans="1:23" ht="27.75" customHeight="1" thickBot="1" x14ac:dyDescent="0.4">
      <c r="A75" s="146"/>
      <c r="B75" s="145"/>
      <c r="C75" s="145"/>
      <c r="D75" s="145"/>
      <c r="E75" s="145"/>
      <c r="F75" s="145"/>
      <c r="G75" s="145"/>
      <c r="H75" s="145"/>
      <c r="I75" s="145"/>
      <c r="J75" s="145"/>
      <c r="K75" s="145"/>
      <c r="L75" s="145"/>
      <c r="M75" s="145"/>
      <c r="N75" s="145"/>
      <c r="O75" s="145"/>
      <c r="P75" s="23">
        <v>2</v>
      </c>
      <c r="Q75" s="24" t="s">
        <v>196</v>
      </c>
      <c r="R75" s="23" t="s">
        <v>33</v>
      </c>
      <c r="S75" s="125">
        <v>0.2</v>
      </c>
      <c r="T75" s="25">
        <f>S75/SUM(S74:S78)</f>
        <v>0.83336805700237504</v>
      </c>
      <c r="U75" s="146"/>
      <c r="V75" s="146"/>
      <c r="W75" s="146"/>
    </row>
    <row r="76" spans="1:23" ht="27.75" customHeight="1" x14ac:dyDescent="0.35">
      <c r="A76" s="148"/>
      <c r="B76" s="145"/>
      <c r="C76" s="145"/>
      <c r="D76" s="145"/>
      <c r="E76" s="145"/>
      <c r="F76" s="145"/>
      <c r="G76" s="145"/>
      <c r="H76" s="145"/>
      <c r="I76" s="145"/>
      <c r="J76" s="145"/>
      <c r="K76" s="145"/>
      <c r="L76" s="145"/>
      <c r="M76" s="145"/>
      <c r="N76" s="145"/>
      <c r="O76" s="145"/>
      <c r="P76" s="9">
        <v>3</v>
      </c>
      <c r="Q76" s="10" t="s">
        <v>197</v>
      </c>
      <c r="R76" s="9" t="s">
        <v>29</v>
      </c>
      <c r="S76" s="122">
        <v>1.333E-2</v>
      </c>
      <c r="T76" s="11">
        <f>S76/SUM(S74:S78)</f>
        <v>5.5543980999208292E-2</v>
      </c>
      <c r="U76" s="147"/>
      <c r="V76" s="159"/>
      <c r="W76" s="147"/>
    </row>
    <row r="77" spans="1:23" ht="27.75" customHeight="1" x14ac:dyDescent="0.35">
      <c r="A77" s="145"/>
      <c r="B77" s="145"/>
      <c r="C77" s="145"/>
      <c r="D77" s="145"/>
      <c r="E77" s="145"/>
      <c r="F77" s="145"/>
      <c r="G77" s="145"/>
      <c r="H77" s="145"/>
      <c r="I77" s="145"/>
      <c r="J77" s="145"/>
      <c r="K77" s="145"/>
      <c r="L77" s="145"/>
      <c r="M77" s="145"/>
      <c r="N77" s="145"/>
      <c r="O77" s="145"/>
      <c r="P77" s="9">
        <v>4</v>
      </c>
      <c r="Q77" s="10" t="s">
        <v>198</v>
      </c>
      <c r="R77" s="9" t="s">
        <v>29</v>
      </c>
      <c r="S77" s="122">
        <v>1.333E-2</v>
      </c>
      <c r="T77" s="11">
        <f>S77/SUM(S74:S78)</f>
        <v>5.5543980999208292E-2</v>
      </c>
      <c r="U77" s="145"/>
      <c r="V77" s="145"/>
      <c r="W77" s="145"/>
    </row>
    <row r="78" spans="1:23" ht="27.75" customHeight="1" thickBot="1" x14ac:dyDescent="0.4">
      <c r="A78" s="145"/>
      <c r="B78" s="145"/>
      <c r="C78" s="146"/>
      <c r="D78" s="153"/>
      <c r="E78" s="146"/>
      <c r="F78" s="146"/>
      <c r="G78" s="146"/>
      <c r="H78" s="146"/>
      <c r="I78" s="146"/>
      <c r="J78" s="146"/>
      <c r="K78" s="146"/>
      <c r="L78" s="146"/>
      <c r="M78" s="146"/>
      <c r="N78" s="146"/>
      <c r="O78" s="146"/>
      <c r="P78" s="26">
        <v>5</v>
      </c>
      <c r="Q78" s="27" t="s">
        <v>174</v>
      </c>
      <c r="R78" s="28" t="s">
        <v>128</v>
      </c>
      <c r="S78" s="127"/>
      <c r="T78" s="29"/>
      <c r="U78" s="145"/>
      <c r="V78" s="145"/>
      <c r="W78" s="145"/>
    </row>
    <row r="79" spans="1:23" ht="27.75" customHeight="1" thickBot="1" x14ac:dyDescent="0.4">
      <c r="A79" s="145"/>
      <c r="B79" s="145"/>
      <c r="C79" s="162" t="s">
        <v>199</v>
      </c>
      <c r="D79" s="169" t="s">
        <v>24</v>
      </c>
      <c r="E79" s="147" t="s">
        <v>76</v>
      </c>
      <c r="F79" s="147" t="s">
        <v>200</v>
      </c>
      <c r="G79" s="147" t="s">
        <v>201</v>
      </c>
      <c r="H79" s="147"/>
      <c r="I79" s="159"/>
      <c r="J79" s="147" t="s">
        <v>29</v>
      </c>
      <c r="K79" s="161">
        <v>0.04</v>
      </c>
      <c r="L79" s="147"/>
      <c r="M79" s="159"/>
      <c r="N79" s="147" t="s">
        <v>202</v>
      </c>
      <c r="O79" s="147" t="s">
        <v>203</v>
      </c>
      <c r="P79" s="12">
        <v>1</v>
      </c>
      <c r="Q79" s="13" t="s">
        <v>204</v>
      </c>
      <c r="R79" s="12" t="s">
        <v>29</v>
      </c>
      <c r="S79" s="123">
        <v>0.01</v>
      </c>
      <c r="T79" s="14">
        <f>S79/SUM(S79:S83)</f>
        <v>0.25</v>
      </c>
      <c r="U79" s="145"/>
      <c r="V79" s="145"/>
      <c r="W79" s="145"/>
    </row>
    <row r="80" spans="1:23" ht="15.75" customHeight="1" thickBot="1" x14ac:dyDescent="0.4">
      <c r="A80" s="146"/>
      <c r="B80" s="145"/>
      <c r="C80" s="145"/>
      <c r="D80" s="145"/>
      <c r="E80" s="145"/>
      <c r="F80" s="145"/>
      <c r="G80" s="145"/>
      <c r="H80" s="145"/>
      <c r="I80" s="145"/>
      <c r="J80" s="145"/>
      <c r="K80" s="145"/>
      <c r="L80" s="145"/>
      <c r="M80" s="145"/>
      <c r="N80" s="145"/>
      <c r="O80" s="145"/>
      <c r="P80" s="9">
        <v>2</v>
      </c>
      <c r="Q80" s="10" t="s">
        <v>205</v>
      </c>
      <c r="R80" s="9" t="s">
        <v>29</v>
      </c>
      <c r="S80" s="122">
        <v>0.01</v>
      </c>
      <c r="T80" s="11">
        <f>S80/SUM(S79:S83)</f>
        <v>0.25</v>
      </c>
      <c r="U80" s="146"/>
      <c r="V80" s="146"/>
      <c r="W80" s="146"/>
    </row>
    <row r="81" spans="1:23" ht="27.75" customHeight="1" x14ac:dyDescent="0.35">
      <c r="A81" s="148"/>
      <c r="B81" s="145"/>
      <c r="C81" s="145"/>
      <c r="D81" s="145"/>
      <c r="E81" s="145"/>
      <c r="F81" s="145"/>
      <c r="G81" s="145"/>
      <c r="H81" s="145"/>
      <c r="I81" s="145"/>
      <c r="J81" s="145"/>
      <c r="K81" s="145"/>
      <c r="L81" s="145"/>
      <c r="M81" s="145"/>
      <c r="N81" s="145"/>
      <c r="O81" s="145"/>
      <c r="P81" s="9">
        <v>3</v>
      </c>
      <c r="Q81" s="10" t="s">
        <v>206</v>
      </c>
      <c r="R81" s="9" t="s">
        <v>29</v>
      </c>
      <c r="S81" s="122">
        <v>0.01</v>
      </c>
      <c r="T81" s="11">
        <f>S81/SUM(S79:S83)</f>
        <v>0.25</v>
      </c>
      <c r="U81" s="147"/>
      <c r="V81" s="159"/>
      <c r="W81" s="147"/>
    </row>
    <row r="82" spans="1:23" ht="27.75" customHeight="1" x14ac:dyDescent="0.35">
      <c r="A82" s="145"/>
      <c r="B82" s="145"/>
      <c r="C82" s="145"/>
      <c r="D82" s="145"/>
      <c r="E82" s="145"/>
      <c r="F82" s="145"/>
      <c r="G82" s="145"/>
      <c r="H82" s="145"/>
      <c r="I82" s="145"/>
      <c r="J82" s="145"/>
      <c r="K82" s="145"/>
      <c r="L82" s="145"/>
      <c r="M82" s="145"/>
      <c r="N82" s="145"/>
      <c r="O82" s="145"/>
      <c r="P82" s="9">
        <v>4</v>
      </c>
      <c r="Q82" s="10" t="s">
        <v>207</v>
      </c>
      <c r="R82" s="9" t="s">
        <v>29</v>
      </c>
      <c r="S82" s="122">
        <v>0.01</v>
      </c>
      <c r="T82" s="11">
        <f>S82/SUM(S79:S83)</f>
        <v>0.25</v>
      </c>
      <c r="U82" s="145"/>
      <c r="V82" s="145"/>
      <c r="W82" s="145"/>
    </row>
    <row r="83" spans="1:23" ht="27.75" customHeight="1" thickBot="1" x14ac:dyDescent="0.4">
      <c r="A83" s="145"/>
      <c r="B83" s="145"/>
      <c r="C83" s="146"/>
      <c r="D83" s="153"/>
      <c r="E83" s="146"/>
      <c r="F83" s="146"/>
      <c r="G83" s="146"/>
      <c r="H83" s="146"/>
      <c r="I83" s="146"/>
      <c r="J83" s="146"/>
      <c r="K83" s="146"/>
      <c r="L83" s="146"/>
      <c r="M83" s="146"/>
      <c r="N83" s="146"/>
      <c r="O83" s="146"/>
      <c r="P83" s="26">
        <v>5</v>
      </c>
      <c r="Q83" s="27" t="s">
        <v>174</v>
      </c>
      <c r="R83" s="28" t="s">
        <v>128</v>
      </c>
      <c r="S83" s="127"/>
      <c r="T83" s="29"/>
      <c r="U83" s="145"/>
      <c r="V83" s="145"/>
      <c r="W83" s="145"/>
    </row>
    <row r="84" spans="1:23" ht="27.75" customHeight="1" thickBot="1" x14ac:dyDescent="0.4">
      <c r="A84" s="145"/>
      <c r="B84" s="145"/>
      <c r="C84" s="162" t="s">
        <v>208</v>
      </c>
      <c r="D84" s="169" t="s">
        <v>24</v>
      </c>
      <c r="E84" s="147" t="s">
        <v>165</v>
      </c>
      <c r="F84" s="147" t="s">
        <v>166</v>
      </c>
      <c r="G84" s="147" t="s">
        <v>59</v>
      </c>
      <c r="H84" s="147" t="s">
        <v>209</v>
      </c>
      <c r="I84" s="161">
        <v>0.2</v>
      </c>
      <c r="J84" s="147" t="s">
        <v>29</v>
      </c>
      <c r="K84" s="161">
        <v>0.04</v>
      </c>
      <c r="L84" s="147"/>
      <c r="M84" s="159"/>
      <c r="N84" s="147" t="s">
        <v>210</v>
      </c>
      <c r="O84" s="147" t="s">
        <v>211</v>
      </c>
      <c r="P84" s="12">
        <v>1</v>
      </c>
      <c r="Q84" s="13" t="s">
        <v>212</v>
      </c>
      <c r="R84" s="12" t="s">
        <v>29</v>
      </c>
      <c r="S84" s="123">
        <v>1.333E-2</v>
      </c>
      <c r="T84" s="14">
        <f>S84/SUM(S84:S88)</f>
        <v>5.5543980999208292E-2</v>
      </c>
      <c r="U84" s="145"/>
      <c r="V84" s="145"/>
      <c r="W84" s="145"/>
    </row>
    <row r="85" spans="1:23" ht="15.75" customHeight="1" thickBot="1" x14ac:dyDescent="0.4">
      <c r="A85" s="146"/>
      <c r="B85" s="145"/>
      <c r="C85" s="145"/>
      <c r="D85" s="145"/>
      <c r="E85" s="145"/>
      <c r="F85" s="145"/>
      <c r="G85" s="145"/>
      <c r="H85" s="145"/>
      <c r="I85" s="145"/>
      <c r="J85" s="145"/>
      <c r="K85" s="145"/>
      <c r="L85" s="145"/>
      <c r="M85" s="145"/>
      <c r="N85" s="145"/>
      <c r="O85" s="145"/>
      <c r="P85" s="23">
        <v>2</v>
      </c>
      <c r="Q85" s="24" t="s">
        <v>196</v>
      </c>
      <c r="R85" s="23" t="s">
        <v>33</v>
      </c>
      <c r="S85" s="125">
        <v>0.2</v>
      </c>
      <c r="T85" s="25">
        <f>S85/SUM(S84:S88)</f>
        <v>0.83336805700237504</v>
      </c>
      <c r="U85" s="146"/>
      <c r="V85" s="146"/>
      <c r="W85" s="146"/>
    </row>
    <row r="86" spans="1:23" ht="27.75" customHeight="1" x14ac:dyDescent="0.35">
      <c r="A86" s="148"/>
      <c r="B86" s="145"/>
      <c r="C86" s="145"/>
      <c r="D86" s="145"/>
      <c r="E86" s="145"/>
      <c r="F86" s="145"/>
      <c r="G86" s="145"/>
      <c r="H86" s="145"/>
      <c r="I86" s="145"/>
      <c r="J86" s="145"/>
      <c r="K86" s="145"/>
      <c r="L86" s="145"/>
      <c r="M86" s="145"/>
      <c r="N86" s="145"/>
      <c r="O86" s="145"/>
      <c r="P86" s="9">
        <v>3</v>
      </c>
      <c r="Q86" s="10" t="s">
        <v>213</v>
      </c>
      <c r="R86" s="9" t="s">
        <v>29</v>
      </c>
      <c r="S86" s="122">
        <v>1.333E-2</v>
      </c>
      <c r="T86" s="11">
        <f>S86/SUM(S84:S88)</f>
        <v>5.5543980999208292E-2</v>
      </c>
      <c r="U86" s="147"/>
      <c r="V86" s="159"/>
      <c r="W86" s="147"/>
    </row>
    <row r="87" spans="1:23" ht="27.75" customHeight="1" x14ac:dyDescent="0.35">
      <c r="A87" s="145"/>
      <c r="B87" s="145"/>
      <c r="C87" s="145"/>
      <c r="D87" s="145"/>
      <c r="E87" s="145"/>
      <c r="F87" s="145"/>
      <c r="G87" s="145"/>
      <c r="H87" s="145"/>
      <c r="I87" s="145"/>
      <c r="J87" s="145"/>
      <c r="K87" s="145"/>
      <c r="L87" s="145"/>
      <c r="M87" s="145"/>
      <c r="N87" s="145"/>
      <c r="O87" s="145"/>
      <c r="P87" s="9">
        <v>4</v>
      </c>
      <c r="Q87" s="10" t="s">
        <v>214</v>
      </c>
      <c r="R87" s="9" t="s">
        <v>29</v>
      </c>
      <c r="S87" s="122">
        <v>1.333E-2</v>
      </c>
      <c r="T87" s="11">
        <f>S87/SUM(S84:S88)</f>
        <v>5.5543980999208292E-2</v>
      </c>
      <c r="U87" s="145"/>
      <c r="V87" s="145"/>
      <c r="W87" s="145"/>
    </row>
    <row r="88" spans="1:23" ht="27.75" customHeight="1" thickBot="1" x14ac:dyDescent="0.4">
      <c r="A88" s="145"/>
      <c r="B88" s="145"/>
      <c r="C88" s="146"/>
      <c r="D88" s="153"/>
      <c r="E88" s="146"/>
      <c r="F88" s="146"/>
      <c r="G88" s="146"/>
      <c r="H88" s="146"/>
      <c r="I88" s="146"/>
      <c r="J88" s="146"/>
      <c r="K88" s="146"/>
      <c r="L88" s="146"/>
      <c r="M88" s="146"/>
      <c r="N88" s="146"/>
      <c r="O88" s="146"/>
      <c r="P88" s="26">
        <v>5</v>
      </c>
      <c r="Q88" s="27" t="s">
        <v>174</v>
      </c>
      <c r="R88" s="28" t="s">
        <v>128</v>
      </c>
      <c r="S88" s="127"/>
      <c r="T88" s="29"/>
      <c r="U88" s="145"/>
      <c r="V88" s="145"/>
      <c r="W88" s="145"/>
    </row>
    <row r="89" spans="1:23" ht="27.75" customHeight="1" x14ac:dyDescent="0.35">
      <c r="A89" s="145"/>
      <c r="B89" s="145"/>
      <c r="C89" s="154" t="s">
        <v>216</v>
      </c>
      <c r="D89" s="158" t="s">
        <v>131</v>
      </c>
      <c r="E89" s="144" t="s">
        <v>217</v>
      </c>
      <c r="F89" s="144" t="s">
        <v>218</v>
      </c>
      <c r="G89" s="144"/>
      <c r="H89" s="144"/>
      <c r="I89" s="151"/>
      <c r="J89" s="144" t="s">
        <v>29</v>
      </c>
      <c r="K89" s="157">
        <v>0.02</v>
      </c>
      <c r="L89" s="144"/>
      <c r="M89" s="151"/>
      <c r="N89" s="144" t="s">
        <v>219</v>
      </c>
      <c r="O89" s="144" t="s">
        <v>220</v>
      </c>
      <c r="P89" s="12">
        <v>1</v>
      </c>
      <c r="Q89" s="13" t="s">
        <v>221</v>
      </c>
      <c r="R89" s="12" t="s">
        <v>29</v>
      </c>
      <c r="S89" s="123">
        <v>6.6699999999999997E-3</v>
      </c>
      <c r="T89" s="14">
        <f>S89/SUM(S89:S92)</f>
        <v>0.33333333333333331</v>
      </c>
      <c r="U89" s="145"/>
      <c r="V89" s="145"/>
      <c r="W89" s="145"/>
    </row>
    <row r="90" spans="1:23" ht="15.75" customHeight="1" thickBot="1" x14ac:dyDescent="0.4">
      <c r="A90" s="146"/>
      <c r="B90" s="153"/>
      <c r="C90" s="145"/>
      <c r="D90" s="145"/>
      <c r="E90" s="145"/>
      <c r="F90" s="145"/>
      <c r="G90" s="145"/>
      <c r="H90" s="145"/>
      <c r="I90" s="145"/>
      <c r="J90" s="145"/>
      <c r="K90" s="145"/>
      <c r="L90" s="145"/>
      <c r="M90" s="145"/>
      <c r="N90" s="145"/>
      <c r="O90" s="145"/>
      <c r="P90" s="9">
        <v>2</v>
      </c>
      <c r="Q90" s="10" t="s">
        <v>222</v>
      </c>
      <c r="R90" s="9" t="s">
        <v>29</v>
      </c>
      <c r="S90" s="122">
        <v>6.6699999999999997E-3</v>
      </c>
      <c r="T90" s="11">
        <f>S90/SUM(S89:S92)</f>
        <v>0.33333333333333331</v>
      </c>
      <c r="U90" s="146"/>
      <c r="V90" s="146"/>
      <c r="W90" s="146"/>
    </row>
    <row r="91" spans="1:23" ht="27.75" customHeight="1" thickBot="1" x14ac:dyDescent="0.4">
      <c r="A91" s="148"/>
      <c r="B91" s="152" t="s">
        <v>215</v>
      </c>
      <c r="C91" s="145"/>
      <c r="D91" s="145"/>
      <c r="E91" s="145"/>
      <c r="F91" s="145"/>
      <c r="G91" s="145"/>
      <c r="H91" s="145"/>
      <c r="I91" s="145"/>
      <c r="J91" s="145"/>
      <c r="K91" s="145"/>
      <c r="L91" s="145"/>
      <c r="M91" s="145"/>
      <c r="N91" s="145"/>
      <c r="O91" s="145"/>
      <c r="P91" s="9">
        <v>3</v>
      </c>
      <c r="Q91" s="10" t="s">
        <v>223</v>
      </c>
      <c r="R91" s="9" t="s">
        <v>29</v>
      </c>
      <c r="S91" s="122">
        <v>6.6699999999999997E-3</v>
      </c>
      <c r="T91" s="11">
        <f>S91/SUM(S89:S92)</f>
        <v>0.33333333333333331</v>
      </c>
      <c r="U91" s="144"/>
      <c r="V91" s="151"/>
      <c r="W91" s="144"/>
    </row>
    <row r="92" spans="1:23" ht="27.75" customHeight="1" thickBot="1" x14ac:dyDescent="0.4">
      <c r="A92" s="145"/>
      <c r="B92" s="145"/>
      <c r="C92" s="146"/>
      <c r="D92" s="146"/>
      <c r="E92" s="146"/>
      <c r="F92" s="146"/>
      <c r="G92" s="146"/>
      <c r="H92" s="146"/>
      <c r="I92" s="146"/>
      <c r="J92" s="146"/>
      <c r="K92" s="146"/>
      <c r="L92" s="146"/>
      <c r="M92" s="146"/>
      <c r="N92" s="146"/>
      <c r="O92" s="146"/>
      <c r="P92" s="26">
        <v>4</v>
      </c>
      <c r="Q92" s="27" t="s">
        <v>174</v>
      </c>
      <c r="R92" s="28" t="s">
        <v>128</v>
      </c>
      <c r="S92" s="127"/>
      <c r="T92" s="29"/>
      <c r="U92" s="145"/>
      <c r="V92" s="145"/>
      <c r="W92" s="145"/>
    </row>
    <row r="93" spans="1:23" ht="27.75" customHeight="1" x14ac:dyDescent="0.35">
      <c r="A93" s="145"/>
      <c r="B93" s="145"/>
      <c r="C93" s="154" t="s">
        <v>224</v>
      </c>
      <c r="D93" s="158" t="s">
        <v>131</v>
      </c>
      <c r="E93" s="144" t="s">
        <v>217</v>
      </c>
      <c r="F93" s="144" t="s">
        <v>218</v>
      </c>
      <c r="G93" s="144"/>
      <c r="H93" s="144"/>
      <c r="I93" s="151"/>
      <c r="J93" s="144" t="s">
        <v>29</v>
      </c>
      <c r="K93" s="157">
        <v>0.02</v>
      </c>
      <c r="L93" s="144"/>
      <c r="M93" s="151"/>
      <c r="N93" s="144" t="s">
        <v>219</v>
      </c>
      <c r="O93" s="144" t="s">
        <v>220</v>
      </c>
      <c r="P93" s="12">
        <v>1</v>
      </c>
      <c r="Q93" s="13" t="s">
        <v>225</v>
      </c>
      <c r="R93" s="12" t="s">
        <v>29</v>
      </c>
      <c r="S93" s="123">
        <v>6.6699999999999997E-3</v>
      </c>
      <c r="T93" s="14">
        <f>S93/SUM(S93:S96)</f>
        <v>0.33333333333333331</v>
      </c>
      <c r="U93" s="145"/>
      <c r="V93" s="145"/>
      <c r="W93" s="145"/>
    </row>
    <row r="94" spans="1:23" ht="15.75" customHeight="1" thickBot="1" x14ac:dyDescent="0.4">
      <c r="A94" s="146"/>
      <c r="B94" s="145"/>
      <c r="C94" s="145"/>
      <c r="D94" s="145"/>
      <c r="E94" s="145"/>
      <c r="F94" s="145"/>
      <c r="G94" s="145"/>
      <c r="H94" s="145"/>
      <c r="I94" s="145"/>
      <c r="J94" s="145"/>
      <c r="K94" s="145"/>
      <c r="L94" s="145"/>
      <c r="M94" s="145"/>
      <c r="N94" s="145"/>
      <c r="O94" s="145"/>
      <c r="P94" s="9">
        <v>2</v>
      </c>
      <c r="Q94" s="10" t="s">
        <v>226</v>
      </c>
      <c r="R94" s="9" t="s">
        <v>29</v>
      </c>
      <c r="S94" s="122">
        <v>6.6699999999999997E-3</v>
      </c>
      <c r="T94" s="11">
        <f>S94/SUM(S93:S96)</f>
        <v>0.33333333333333331</v>
      </c>
      <c r="U94" s="146"/>
      <c r="V94" s="146"/>
      <c r="W94" s="146"/>
    </row>
    <row r="95" spans="1:23" ht="27.75" customHeight="1" x14ac:dyDescent="0.35">
      <c r="A95" s="148"/>
      <c r="B95" s="145"/>
      <c r="C95" s="145"/>
      <c r="D95" s="145"/>
      <c r="E95" s="145"/>
      <c r="F95" s="145"/>
      <c r="G95" s="145"/>
      <c r="H95" s="145"/>
      <c r="I95" s="145"/>
      <c r="J95" s="145"/>
      <c r="K95" s="145"/>
      <c r="L95" s="145"/>
      <c r="M95" s="145"/>
      <c r="N95" s="145"/>
      <c r="O95" s="145"/>
      <c r="P95" s="9">
        <v>3</v>
      </c>
      <c r="Q95" s="10" t="s">
        <v>223</v>
      </c>
      <c r="R95" s="9" t="s">
        <v>29</v>
      </c>
      <c r="S95" s="122">
        <v>6.6699999999999997E-3</v>
      </c>
      <c r="T95" s="11">
        <f>S95/SUM(S93:S96)</f>
        <v>0.33333333333333331</v>
      </c>
      <c r="U95" s="144"/>
      <c r="V95" s="151"/>
      <c r="W95" s="144"/>
    </row>
    <row r="96" spans="1:23" ht="27.75" customHeight="1" thickBot="1" x14ac:dyDescent="0.4">
      <c r="A96" s="145"/>
      <c r="B96" s="145"/>
      <c r="C96" s="146"/>
      <c r="D96" s="146"/>
      <c r="E96" s="146"/>
      <c r="F96" s="146"/>
      <c r="G96" s="146"/>
      <c r="H96" s="146"/>
      <c r="I96" s="146"/>
      <c r="J96" s="146"/>
      <c r="K96" s="146"/>
      <c r="L96" s="146"/>
      <c r="M96" s="146"/>
      <c r="N96" s="146"/>
      <c r="O96" s="146"/>
      <c r="P96" s="26">
        <v>4</v>
      </c>
      <c r="Q96" s="27" t="s">
        <v>174</v>
      </c>
      <c r="R96" s="28" t="s">
        <v>128</v>
      </c>
      <c r="S96" s="127"/>
      <c r="T96" s="29"/>
      <c r="U96" s="145"/>
      <c r="V96" s="145"/>
      <c r="W96" s="145"/>
    </row>
    <row r="97" spans="1:23" ht="27.75" customHeight="1" x14ac:dyDescent="0.35">
      <c r="A97" s="145"/>
      <c r="B97" s="145"/>
      <c r="C97" s="154" t="s">
        <v>227</v>
      </c>
      <c r="D97" s="158" t="s">
        <v>131</v>
      </c>
      <c r="E97" s="144" t="s">
        <v>217</v>
      </c>
      <c r="F97" s="144" t="s">
        <v>228</v>
      </c>
      <c r="G97" s="144"/>
      <c r="H97" s="144"/>
      <c r="I97" s="151"/>
      <c r="J97" s="144" t="s">
        <v>29</v>
      </c>
      <c r="K97" s="157">
        <v>0.03</v>
      </c>
      <c r="L97" s="144"/>
      <c r="M97" s="151"/>
      <c r="N97" s="144" t="s">
        <v>219</v>
      </c>
      <c r="O97" s="144" t="s">
        <v>220</v>
      </c>
      <c r="P97" s="12">
        <v>1</v>
      </c>
      <c r="Q97" s="13" t="s">
        <v>221</v>
      </c>
      <c r="R97" s="12" t="s">
        <v>29</v>
      </c>
      <c r="S97" s="123">
        <v>0.01</v>
      </c>
      <c r="T97" s="14">
        <f>S97/SUM(S97:S100)</f>
        <v>0.33333333333333337</v>
      </c>
      <c r="U97" s="145"/>
      <c r="V97" s="145"/>
      <c r="W97" s="145"/>
    </row>
    <row r="98" spans="1:23" ht="15.75" customHeight="1" thickBot="1" x14ac:dyDescent="0.4">
      <c r="A98" s="146"/>
      <c r="B98" s="145"/>
      <c r="C98" s="145"/>
      <c r="D98" s="145"/>
      <c r="E98" s="145"/>
      <c r="F98" s="145"/>
      <c r="G98" s="145"/>
      <c r="H98" s="145"/>
      <c r="I98" s="145"/>
      <c r="J98" s="145"/>
      <c r="K98" s="145"/>
      <c r="L98" s="145"/>
      <c r="M98" s="145"/>
      <c r="N98" s="145"/>
      <c r="O98" s="145"/>
      <c r="P98" s="9">
        <v>2</v>
      </c>
      <c r="Q98" s="10" t="s">
        <v>222</v>
      </c>
      <c r="R98" s="9" t="s">
        <v>29</v>
      </c>
      <c r="S98" s="122">
        <v>0.01</v>
      </c>
      <c r="T98" s="11">
        <f>S98/SUM(S97:S100)</f>
        <v>0.33333333333333337</v>
      </c>
      <c r="U98" s="146"/>
      <c r="V98" s="146"/>
      <c r="W98" s="146"/>
    </row>
    <row r="99" spans="1:23" ht="27.75" customHeight="1" x14ac:dyDescent="0.35">
      <c r="A99" s="148"/>
      <c r="B99" s="145"/>
      <c r="C99" s="145"/>
      <c r="D99" s="145"/>
      <c r="E99" s="145"/>
      <c r="F99" s="145"/>
      <c r="G99" s="145"/>
      <c r="H99" s="145"/>
      <c r="I99" s="145"/>
      <c r="J99" s="145"/>
      <c r="K99" s="145"/>
      <c r="L99" s="145"/>
      <c r="M99" s="145"/>
      <c r="N99" s="145"/>
      <c r="O99" s="145"/>
      <c r="P99" s="9">
        <v>3</v>
      </c>
      <c r="Q99" s="10" t="s">
        <v>223</v>
      </c>
      <c r="R99" s="9" t="s">
        <v>29</v>
      </c>
      <c r="S99" s="122">
        <v>0.01</v>
      </c>
      <c r="T99" s="11">
        <f>S99/SUM(S97:S100)</f>
        <v>0.33333333333333337</v>
      </c>
      <c r="U99" s="144"/>
      <c r="V99" s="151"/>
      <c r="W99" s="144"/>
    </row>
    <row r="100" spans="1:23" ht="27.75" customHeight="1" thickBot="1" x14ac:dyDescent="0.4">
      <c r="A100" s="145"/>
      <c r="B100" s="145"/>
      <c r="C100" s="146"/>
      <c r="D100" s="146"/>
      <c r="E100" s="146"/>
      <c r="F100" s="146"/>
      <c r="G100" s="146"/>
      <c r="H100" s="146"/>
      <c r="I100" s="146"/>
      <c r="J100" s="146"/>
      <c r="K100" s="146"/>
      <c r="L100" s="146"/>
      <c r="M100" s="146"/>
      <c r="N100" s="146"/>
      <c r="O100" s="146"/>
      <c r="P100" s="26">
        <v>4</v>
      </c>
      <c r="Q100" s="27" t="s">
        <v>174</v>
      </c>
      <c r="R100" s="28" t="s">
        <v>128</v>
      </c>
      <c r="S100" s="127"/>
      <c r="T100" s="29"/>
      <c r="U100" s="145"/>
      <c r="V100" s="145"/>
      <c r="W100" s="145"/>
    </row>
    <row r="101" spans="1:23" ht="27.75" customHeight="1" x14ac:dyDescent="0.35">
      <c r="A101" s="145"/>
      <c r="B101" s="145"/>
      <c r="C101" s="154" t="s">
        <v>229</v>
      </c>
      <c r="D101" s="158" t="s">
        <v>131</v>
      </c>
      <c r="E101" s="144" t="s">
        <v>217</v>
      </c>
      <c r="F101" s="144" t="s">
        <v>228</v>
      </c>
      <c r="G101" s="144"/>
      <c r="H101" s="144"/>
      <c r="I101" s="151"/>
      <c r="J101" s="144" t="s">
        <v>29</v>
      </c>
      <c r="K101" s="157">
        <v>0.02</v>
      </c>
      <c r="L101" s="144"/>
      <c r="M101" s="151"/>
      <c r="N101" s="144" t="s">
        <v>219</v>
      </c>
      <c r="O101" s="144" t="s">
        <v>220</v>
      </c>
      <c r="P101" s="12">
        <v>1</v>
      </c>
      <c r="Q101" s="13" t="s">
        <v>221</v>
      </c>
      <c r="R101" s="12" t="s">
        <v>29</v>
      </c>
      <c r="S101" s="123">
        <v>6.6699999999999997E-3</v>
      </c>
      <c r="T101" s="14">
        <f>S101/SUM(S101:S104)</f>
        <v>0.33333333333333331</v>
      </c>
      <c r="U101" s="145"/>
      <c r="V101" s="145"/>
      <c r="W101" s="145"/>
    </row>
    <row r="102" spans="1:23" ht="15.75" customHeight="1" thickBot="1" x14ac:dyDescent="0.4">
      <c r="A102" s="146"/>
      <c r="B102" s="145"/>
      <c r="C102" s="145"/>
      <c r="D102" s="145"/>
      <c r="E102" s="145"/>
      <c r="F102" s="145"/>
      <c r="G102" s="145"/>
      <c r="H102" s="145"/>
      <c r="I102" s="145"/>
      <c r="J102" s="145"/>
      <c r="K102" s="145"/>
      <c r="L102" s="145"/>
      <c r="M102" s="145"/>
      <c r="N102" s="145"/>
      <c r="O102" s="145"/>
      <c r="P102" s="9">
        <v>2</v>
      </c>
      <c r="Q102" s="10" t="s">
        <v>222</v>
      </c>
      <c r="R102" s="9" t="s">
        <v>29</v>
      </c>
      <c r="S102" s="122">
        <v>6.6699999999999997E-3</v>
      </c>
      <c r="T102" s="11">
        <f>S102/SUM(S101:S104)</f>
        <v>0.33333333333333331</v>
      </c>
      <c r="U102" s="146"/>
      <c r="V102" s="146"/>
      <c r="W102" s="146"/>
    </row>
    <row r="103" spans="1:23" ht="27.75" customHeight="1" x14ac:dyDescent="0.35">
      <c r="A103" s="148"/>
      <c r="B103" s="145"/>
      <c r="C103" s="145"/>
      <c r="D103" s="145"/>
      <c r="E103" s="145"/>
      <c r="F103" s="145"/>
      <c r="G103" s="145"/>
      <c r="H103" s="145"/>
      <c r="I103" s="145"/>
      <c r="J103" s="145"/>
      <c r="K103" s="145"/>
      <c r="L103" s="145"/>
      <c r="M103" s="145"/>
      <c r="N103" s="145"/>
      <c r="O103" s="145"/>
      <c r="P103" s="9">
        <v>3</v>
      </c>
      <c r="Q103" s="10" t="s">
        <v>230</v>
      </c>
      <c r="R103" s="9" t="s">
        <v>29</v>
      </c>
      <c r="S103" s="122">
        <v>6.6699999999999997E-3</v>
      </c>
      <c r="T103" s="11">
        <f>S103/SUM(S101:S104)</f>
        <v>0.33333333333333331</v>
      </c>
      <c r="U103" s="144"/>
      <c r="V103" s="151"/>
      <c r="W103" s="144"/>
    </row>
    <row r="104" spans="1:23" ht="27.75" customHeight="1" thickBot="1" x14ac:dyDescent="0.4">
      <c r="A104" s="145"/>
      <c r="B104" s="145"/>
      <c r="C104" s="146"/>
      <c r="D104" s="146"/>
      <c r="E104" s="146"/>
      <c r="F104" s="146"/>
      <c r="G104" s="146"/>
      <c r="H104" s="146"/>
      <c r="I104" s="146"/>
      <c r="J104" s="146"/>
      <c r="K104" s="146"/>
      <c r="L104" s="146"/>
      <c r="M104" s="146"/>
      <c r="N104" s="146"/>
      <c r="O104" s="146"/>
      <c r="P104" s="26">
        <v>4</v>
      </c>
      <c r="Q104" s="27" t="s">
        <v>174</v>
      </c>
      <c r="R104" s="28" t="s">
        <v>128</v>
      </c>
      <c r="S104" s="127"/>
      <c r="T104" s="29"/>
      <c r="U104" s="145"/>
      <c r="V104" s="145"/>
      <c r="W104" s="145"/>
    </row>
    <row r="105" spans="1:23" ht="27.75" customHeight="1" x14ac:dyDescent="0.35">
      <c r="A105" s="145"/>
      <c r="B105" s="145"/>
      <c r="C105" s="154" t="s">
        <v>231</v>
      </c>
      <c r="D105" s="158" t="s">
        <v>131</v>
      </c>
      <c r="E105" s="144" t="s">
        <v>217</v>
      </c>
      <c r="F105" s="144" t="s">
        <v>218</v>
      </c>
      <c r="G105" s="144"/>
      <c r="H105" s="144"/>
      <c r="I105" s="151"/>
      <c r="J105" s="144" t="s">
        <v>29</v>
      </c>
      <c r="K105" s="157">
        <v>0.02</v>
      </c>
      <c r="L105" s="144"/>
      <c r="M105" s="151"/>
      <c r="N105" s="144" t="s">
        <v>219</v>
      </c>
      <c r="O105" s="144" t="s">
        <v>220</v>
      </c>
      <c r="P105" s="12">
        <v>1</v>
      </c>
      <c r="Q105" s="13" t="s">
        <v>232</v>
      </c>
      <c r="R105" s="12" t="s">
        <v>29</v>
      </c>
      <c r="S105" s="123">
        <v>6.6699999999999997E-3</v>
      </c>
      <c r="T105" s="14">
        <f>S105/SUM(S105:S108)</f>
        <v>0.33333333333333331</v>
      </c>
      <c r="U105" s="145"/>
      <c r="V105" s="145"/>
      <c r="W105" s="145"/>
    </row>
    <row r="106" spans="1:23" ht="15.75" customHeight="1" thickBot="1" x14ac:dyDescent="0.4">
      <c r="A106" s="146"/>
      <c r="B106" s="145"/>
      <c r="C106" s="145"/>
      <c r="D106" s="145"/>
      <c r="E106" s="145"/>
      <c r="F106" s="145"/>
      <c r="G106" s="145"/>
      <c r="H106" s="145"/>
      <c r="I106" s="145"/>
      <c r="J106" s="145"/>
      <c r="K106" s="145"/>
      <c r="L106" s="145"/>
      <c r="M106" s="145"/>
      <c r="N106" s="145"/>
      <c r="O106" s="145"/>
      <c r="P106" s="9">
        <v>2</v>
      </c>
      <c r="Q106" s="10" t="s">
        <v>226</v>
      </c>
      <c r="R106" s="9" t="s">
        <v>29</v>
      </c>
      <c r="S106" s="122">
        <v>6.6699999999999997E-3</v>
      </c>
      <c r="T106" s="11">
        <f>S106/SUM(S105:S108)</f>
        <v>0.33333333333333331</v>
      </c>
      <c r="U106" s="146"/>
      <c r="V106" s="146"/>
      <c r="W106" s="146"/>
    </row>
    <row r="107" spans="1:23" ht="27.75" customHeight="1" x14ac:dyDescent="0.35">
      <c r="A107" s="148"/>
      <c r="B107" s="145"/>
      <c r="C107" s="145"/>
      <c r="D107" s="145"/>
      <c r="E107" s="145"/>
      <c r="F107" s="145"/>
      <c r="G107" s="145"/>
      <c r="H107" s="145"/>
      <c r="I107" s="145"/>
      <c r="J107" s="145"/>
      <c r="K107" s="145"/>
      <c r="L107" s="145"/>
      <c r="M107" s="145"/>
      <c r="N107" s="145"/>
      <c r="O107" s="145"/>
      <c r="P107" s="9">
        <v>3</v>
      </c>
      <c r="Q107" s="10" t="s">
        <v>223</v>
      </c>
      <c r="R107" s="9" t="s">
        <v>29</v>
      </c>
      <c r="S107" s="122">
        <v>6.6699999999999997E-3</v>
      </c>
      <c r="T107" s="11">
        <f>S107/SUM(S105:S108)</f>
        <v>0.33333333333333331</v>
      </c>
      <c r="U107" s="144"/>
      <c r="V107" s="151"/>
      <c r="W107" s="144"/>
    </row>
    <row r="108" spans="1:23" ht="27.75" customHeight="1" thickBot="1" x14ac:dyDescent="0.4">
      <c r="A108" s="145"/>
      <c r="B108" s="145"/>
      <c r="C108" s="146"/>
      <c r="D108" s="146"/>
      <c r="E108" s="146"/>
      <c r="F108" s="146"/>
      <c r="G108" s="146"/>
      <c r="H108" s="146"/>
      <c r="I108" s="146"/>
      <c r="J108" s="146"/>
      <c r="K108" s="146"/>
      <c r="L108" s="146"/>
      <c r="M108" s="146"/>
      <c r="N108" s="146"/>
      <c r="O108" s="146"/>
      <c r="P108" s="26">
        <v>4</v>
      </c>
      <c r="Q108" s="27" t="s">
        <v>174</v>
      </c>
      <c r="R108" s="28" t="s">
        <v>128</v>
      </c>
      <c r="S108" s="127"/>
      <c r="T108" s="29"/>
      <c r="U108" s="145"/>
      <c r="V108" s="145"/>
      <c r="W108" s="145"/>
    </row>
    <row r="109" spans="1:23" ht="27.75" customHeight="1" x14ac:dyDescent="0.35">
      <c r="A109" s="145"/>
      <c r="B109" s="145"/>
      <c r="C109" s="154" t="s">
        <v>233</v>
      </c>
      <c r="D109" s="158" t="s">
        <v>24</v>
      </c>
      <c r="E109" s="144" t="s">
        <v>234</v>
      </c>
      <c r="F109" s="144" t="s">
        <v>235</v>
      </c>
      <c r="G109" s="144"/>
      <c r="H109" s="144"/>
      <c r="I109" s="151"/>
      <c r="J109" s="144" t="s">
        <v>29</v>
      </c>
      <c r="K109" s="157">
        <v>0.03</v>
      </c>
      <c r="L109" s="144" t="s">
        <v>236</v>
      </c>
      <c r="M109" s="157">
        <v>0.05</v>
      </c>
      <c r="N109" s="144" t="s">
        <v>219</v>
      </c>
      <c r="O109" s="144" t="s">
        <v>220</v>
      </c>
      <c r="P109" s="12">
        <v>1</v>
      </c>
      <c r="Q109" s="13" t="s">
        <v>232</v>
      </c>
      <c r="R109" s="12" t="s">
        <v>29</v>
      </c>
      <c r="S109" s="123">
        <v>1.4999999999999999E-2</v>
      </c>
      <c r="T109" s="14">
        <f>S109/SUM(S109:S112)</f>
        <v>0.1875</v>
      </c>
      <c r="U109" s="145"/>
      <c r="V109" s="145"/>
      <c r="W109" s="145"/>
    </row>
    <row r="110" spans="1:23" ht="15.75" customHeight="1" thickBot="1" x14ac:dyDescent="0.4">
      <c r="A110" s="146"/>
      <c r="B110" s="145"/>
      <c r="C110" s="145"/>
      <c r="D110" s="145"/>
      <c r="E110" s="145"/>
      <c r="F110" s="145"/>
      <c r="G110" s="145"/>
      <c r="H110" s="145"/>
      <c r="I110" s="145"/>
      <c r="J110" s="145"/>
      <c r="K110" s="145"/>
      <c r="L110" s="145"/>
      <c r="M110" s="145"/>
      <c r="N110" s="145"/>
      <c r="O110" s="145"/>
      <c r="P110" s="9">
        <v>2</v>
      </c>
      <c r="Q110" s="10" t="s">
        <v>237</v>
      </c>
      <c r="R110" s="9" t="s">
        <v>29</v>
      </c>
      <c r="S110" s="122">
        <v>1.4999999999999999E-2</v>
      </c>
      <c r="T110" s="11">
        <f>S110/SUM(S109:S112)</f>
        <v>0.1875</v>
      </c>
      <c r="U110" s="146"/>
      <c r="V110" s="146"/>
      <c r="W110" s="146"/>
    </row>
    <row r="111" spans="1:23" ht="27.75" customHeight="1" x14ac:dyDescent="0.35">
      <c r="A111" s="148"/>
      <c r="B111" s="145"/>
      <c r="C111" s="145"/>
      <c r="D111" s="145"/>
      <c r="E111" s="145"/>
      <c r="F111" s="145"/>
      <c r="G111" s="145"/>
      <c r="H111" s="145"/>
      <c r="I111" s="145"/>
      <c r="J111" s="145"/>
      <c r="K111" s="145"/>
      <c r="L111" s="145"/>
      <c r="M111" s="145"/>
      <c r="N111" s="145"/>
      <c r="O111" s="145"/>
      <c r="P111" s="15">
        <v>3</v>
      </c>
      <c r="Q111" s="16" t="s">
        <v>238</v>
      </c>
      <c r="R111" s="15" t="s">
        <v>54</v>
      </c>
      <c r="S111" s="124">
        <v>0.05</v>
      </c>
      <c r="T111" s="17">
        <f>S111/SUM(S109:S112)</f>
        <v>0.625</v>
      </c>
      <c r="U111" s="144"/>
      <c r="V111" s="151"/>
      <c r="W111" s="144"/>
    </row>
    <row r="112" spans="1:23" ht="27.75" customHeight="1" thickBot="1" x14ac:dyDescent="0.4">
      <c r="A112" s="145"/>
      <c r="B112" s="145"/>
      <c r="C112" s="146"/>
      <c r="D112" s="146"/>
      <c r="E112" s="146"/>
      <c r="F112" s="146"/>
      <c r="G112" s="146"/>
      <c r="H112" s="146"/>
      <c r="I112" s="146"/>
      <c r="J112" s="146"/>
      <c r="K112" s="146"/>
      <c r="L112" s="146"/>
      <c r="M112" s="146"/>
      <c r="N112" s="146"/>
      <c r="O112" s="146"/>
      <c r="P112" s="26">
        <v>4</v>
      </c>
      <c r="Q112" s="27" t="s">
        <v>174</v>
      </c>
      <c r="R112" s="28" t="s">
        <v>128</v>
      </c>
      <c r="S112" s="127"/>
      <c r="T112" s="29"/>
      <c r="U112" s="145"/>
      <c r="V112" s="145"/>
      <c r="W112" s="145"/>
    </row>
    <row r="113" spans="1:23" ht="27.75" customHeight="1" x14ac:dyDescent="0.35">
      <c r="A113" s="145"/>
      <c r="B113" s="145"/>
      <c r="C113" s="154" t="s">
        <v>239</v>
      </c>
      <c r="D113" s="158" t="s">
        <v>24</v>
      </c>
      <c r="E113" s="144" t="s">
        <v>234</v>
      </c>
      <c r="F113" s="144" t="s">
        <v>235</v>
      </c>
      <c r="G113" s="144"/>
      <c r="H113" s="144"/>
      <c r="I113" s="151"/>
      <c r="J113" s="144" t="s">
        <v>29</v>
      </c>
      <c r="K113" s="157">
        <v>0.03</v>
      </c>
      <c r="L113" s="144" t="s">
        <v>236</v>
      </c>
      <c r="M113" s="157">
        <v>0.05</v>
      </c>
      <c r="N113" s="144" t="s">
        <v>240</v>
      </c>
      <c r="O113" s="144" t="s">
        <v>241</v>
      </c>
      <c r="P113" s="12">
        <v>1</v>
      </c>
      <c r="Q113" s="13" t="s">
        <v>237</v>
      </c>
      <c r="R113" s="12" t="s">
        <v>29</v>
      </c>
      <c r="S113" s="123">
        <v>1.4999999999999999E-2</v>
      </c>
      <c r="T113" s="14">
        <f>S113/SUM(S113:S116)</f>
        <v>0.1875</v>
      </c>
      <c r="U113" s="145"/>
      <c r="V113" s="145"/>
      <c r="W113" s="145"/>
    </row>
    <row r="114" spans="1:23" ht="15.75" customHeight="1" thickBot="1" x14ac:dyDescent="0.4">
      <c r="A114" s="146"/>
      <c r="B114" s="145"/>
      <c r="C114" s="145"/>
      <c r="D114" s="145"/>
      <c r="E114" s="145"/>
      <c r="F114" s="145"/>
      <c r="G114" s="145"/>
      <c r="H114" s="145"/>
      <c r="I114" s="145"/>
      <c r="J114" s="145"/>
      <c r="K114" s="145"/>
      <c r="L114" s="145"/>
      <c r="M114" s="145"/>
      <c r="N114" s="145"/>
      <c r="O114" s="145"/>
      <c r="P114" s="9">
        <v>2</v>
      </c>
      <c r="Q114" s="10" t="s">
        <v>242</v>
      </c>
      <c r="R114" s="9" t="s">
        <v>29</v>
      </c>
      <c r="S114" s="122">
        <v>1.4999999999999999E-2</v>
      </c>
      <c r="T114" s="11">
        <f>S114/SUM(S113:S116)</f>
        <v>0.1875</v>
      </c>
      <c r="U114" s="146"/>
      <c r="V114" s="146"/>
      <c r="W114" s="146"/>
    </row>
    <row r="115" spans="1:23" ht="27.75" customHeight="1" x14ac:dyDescent="0.35">
      <c r="A115" s="148"/>
      <c r="B115" s="145"/>
      <c r="C115" s="145"/>
      <c r="D115" s="145"/>
      <c r="E115" s="145"/>
      <c r="F115" s="145"/>
      <c r="G115" s="145"/>
      <c r="H115" s="145"/>
      <c r="I115" s="145"/>
      <c r="J115" s="145"/>
      <c r="K115" s="145"/>
      <c r="L115" s="145"/>
      <c r="M115" s="145"/>
      <c r="N115" s="145"/>
      <c r="O115" s="145"/>
      <c r="P115" s="15">
        <v>3</v>
      </c>
      <c r="Q115" s="16" t="s">
        <v>238</v>
      </c>
      <c r="R115" s="15" t="s">
        <v>54</v>
      </c>
      <c r="S115" s="124">
        <v>0.05</v>
      </c>
      <c r="T115" s="17">
        <f>S115/SUM(S113:S116)</f>
        <v>0.625</v>
      </c>
      <c r="U115" s="144"/>
      <c r="V115" s="151"/>
      <c r="W115" s="144"/>
    </row>
    <row r="116" spans="1:23" ht="27.75" customHeight="1" thickBot="1" x14ac:dyDescent="0.4">
      <c r="A116" s="145"/>
      <c r="B116" s="145"/>
      <c r="C116" s="146"/>
      <c r="D116" s="146"/>
      <c r="E116" s="146"/>
      <c r="F116" s="146"/>
      <c r="G116" s="146"/>
      <c r="H116" s="146"/>
      <c r="I116" s="146"/>
      <c r="J116" s="146"/>
      <c r="K116" s="146"/>
      <c r="L116" s="146"/>
      <c r="M116" s="146"/>
      <c r="N116" s="146"/>
      <c r="O116" s="146"/>
      <c r="P116" s="26">
        <v>4</v>
      </c>
      <c r="Q116" s="27" t="s">
        <v>174</v>
      </c>
      <c r="R116" s="28" t="s">
        <v>128</v>
      </c>
      <c r="S116" s="127"/>
      <c r="T116" s="29"/>
      <c r="U116" s="145"/>
      <c r="V116" s="145"/>
      <c r="W116" s="145"/>
    </row>
    <row r="117" spans="1:23" ht="27.75" customHeight="1" x14ac:dyDescent="0.35">
      <c r="A117" s="145"/>
      <c r="B117" s="145"/>
      <c r="C117" s="154" t="s">
        <v>243</v>
      </c>
      <c r="D117" s="158" t="s">
        <v>131</v>
      </c>
      <c r="E117" s="144" t="s">
        <v>217</v>
      </c>
      <c r="F117" s="144" t="s">
        <v>218</v>
      </c>
      <c r="G117" s="144"/>
      <c r="H117" s="144"/>
      <c r="I117" s="151"/>
      <c r="J117" s="144" t="s">
        <v>29</v>
      </c>
      <c r="K117" s="157">
        <v>0.02</v>
      </c>
      <c r="L117" s="144" t="s">
        <v>236</v>
      </c>
      <c r="M117" s="157">
        <v>0.05</v>
      </c>
      <c r="N117" s="144" t="s">
        <v>240</v>
      </c>
      <c r="O117" s="144" t="s">
        <v>241</v>
      </c>
      <c r="P117" s="12">
        <v>1</v>
      </c>
      <c r="Q117" s="13" t="s">
        <v>237</v>
      </c>
      <c r="R117" s="12" t="s">
        <v>29</v>
      </c>
      <c r="S117" s="123">
        <v>0.01</v>
      </c>
      <c r="T117" s="14">
        <f>S117/SUM(S117:S120)</f>
        <v>0.14285714285714285</v>
      </c>
      <c r="U117" s="145"/>
      <c r="V117" s="145"/>
      <c r="W117" s="145"/>
    </row>
    <row r="118" spans="1:23" ht="15.75" customHeight="1" thickBot="1" x14ac:dyDescent="0.4">
      <c r="A118" s="146"/>
      <c r="B118" s="145"/>
      <c r="C118" s="145"/>
      <c r="D118" s="145"/>
      <c r="E118" s="145"/>
      <c r="F118" s="145"/>
      <c r="G118" s="145"/>
      <c r="H118" s="145"/>
      <c r="I118" s="145"/>
      <c r="J118" s="145"/>
      <c r="K118" s="145"/>
      <c r="L118" s="145"/>
      <c r="M118" s="145"/>
      <c r="N118" s="145"/>
      <c r="O118" s="145"/>
      <c r="P118" s="9">
        <v>2</v>
      </c>
      <c r="Q118" s="10" t="s">
        <v>244</v>
      </c>
      <c r="R118" s="9" t="s">
        <v>29</v>
      </c>
      <c r="S118" s="122">
        <v>0.01</v>
      </c>
      <c r="T118" s="11">
        <f>S118/SUM(S117:S120)</f>
        <v>0.14285714285714285</v>
      </c>
      <c r="U118" s="146"/>
      <c r="V118" s="146"/>
      <c r="W118" s="146"/>
    </row>
    <row r="119" spans="1:23" ht="27.75" customHeight="1" x14ac:dyDescent="0.35">
      <c r="A119" s="148"/>
      <c r="B119" s="145"/>
      <c r="C119" s="145"/>
      <c r="D119" s="145"/>
      <c r="E119" s="145"/>
      <c r="F119" s="145"/>
      <c r="G119" s="145"/>
      <c r="H119" s="145"/>
      <c r="I119" s="145"/>
      <c r="J119" s="145"/>
      <c r="K119" s="145"/>
      <c r="L119" s="145"/>
      <c r="M119" s="145"/>
      <c r="N119" s="145"/>
      <c r="O119" s="145"/>
      <c r="P119" s="15">
        <v>3</v>
      </c>
      <c r="Q119" s="16" t="s">
        <v>238</v>
      </c>
      <c r="R119" s="15" t="s">
        <v>54</v>
      </c>
      <c r="S119" s="124">
        <v>0.05</v>
      </c>
      <c r="T119" s="17">
        <f>S119/SUM(S117:S120)</f>
        <v>0.7142857142857143</v>
      </c>
      <c r="U119" s="144"/>
      <c r="V119" s="151"/>
      <c r="W119" s="144"/>
    </row>
    <row r="120" spans="1:23" ht="27.75" customHeight="1" thickBot="1" x14ac:dyDescent="0.4">
      <c r="A120" s="145"/>
      <c r="B120" s="145"/>
      <c r="C120" s="146"/>
      <c r="D120" s="146"/>
      <c r="E120" s="146"/>
      <c r="F120" s="146"/>
      <c r="G120" s="146"/>
      <c r="H120" s="146"/>
      <c r="I120" s="146"/>
      <c r="J120" s="146"/>
      <c r="K120" s="146"/>
      <c r="L120" s="146"/>
      <c r="M120" s="146"/>
      <c r="N120" s="146"/>
      <c r="O120" s="146"/>
      <c r="P120" s="26">
        <v>4</v>
      </c>
      <c r="Q120" s="27" t="s">
        <v>174</v>
      </c>
      <c r="R120" s="28" t="s">
        <v>128</v>
      </c>
      <c r="S120" s="127"/>
      <c r="T120" s="29"/>
      <c r="U120" s="145"/>
      <c r="V120" s="145"/>
      <c r="W120" s="145"/>
    </row>
    <row r="121" spans="1:23" ht="27.75" customHeight="1" x14ac:dyDescent="0.35">
      <c r="A121" s="145"/>
      <c r="B121" s="145"/>
      <c r="C121" s="154" t="s">
        <v>245</v>
      </c>
      <c r="D121" s="158" t="s">
        <v>131</v>
      </c>
      <c r="E121" s="144" t="s">
        <v>246</v>
      </c>
      <c r="F121" s="144" t="s">
        <v>218</v>
      </c>
      <c r="G121" s="144"/>
      <c r="H121" s="144"/>
      <c r="I121" s="151"/>
      <c r="J121" s="144" t="s">
        <v>29</v>
      </c>
      <c r="K121" s="157">
        <v>0.02</v>
      </c>
      <c r="L121" s="144"/>
      <c r="M121" s="151"/>
      <c r="N121" s="144" t="s">
        <v>219</v>
      </c>
      <c r="O121" s="144" t="s">
        <v>220</v>
      </c>
      <c r="P121" s="12">
        <v>1</v>
      </c>
      <c r="Q121" s="13" t="s">
        <v>232</v>
      </c>
      <c r="R121" s="12" t="s">
        <v>29</v>
      </c>
      <c r="S121" s="123">
        <v>6.6699999999999997E-3</v>
      </c>
      <c r="T121" s="14">
        <f>S121/SUM(S121:S124)</f>
        <v>0.33333333333333331</v>
      </c>
      <c r="U121" s="145"/>
      <c r="V121" s="145"/>
      <c r="W121" s="145"/>
    </row>
    <row r="122" spans="1:23" ht="15.75" customHeight="1" thickBot="1" x14ac:dyDescent="0.4">
      <c r="A122" s="146"/>
      <c r="B122" s="145"/>
      <c r="C122" s="145"/>
      <c r="D122" s="145"/>
      <c r="E122" s="145"/>
      <c r="F122" s="145"/>
      <c r="G122" s="145"/>
      <c r="H122" s="145"/>
      <c r="I122" s="145"/>
      <c r="J122" s="145"/>
      <c r="K122" s="145"/>
      <c r="L122" s="145"/>
      <c r="M122" s="145"/>
      <c r="N122" s="145"/>
      <c r="O122" s="145"/>
      <c r="P122" s="9">
        <v>2</v>
      </c>
      <c r="Q122" s="10" t="s">
        <v>247</v>
      </c>
      <c r="R122" s="9" t="s">
        <v>29</v>
      </c>
      <c r="S122" s="122">
        <v>6.6699999999999997E-3</v>
      </c>
      <c r="T122" s="11">
        <f>S122/SUM(S121:S124)</f>
        <v>0.33333333333333331</v>
      </c>
      <c r="U122" s="146"/>
      <c r="V122" s="146"/>
      <c r="W122" s="146"/>
    </row>
    <row r="123" spans="1:23" ht="27.75" customHeight="1" x14ac:dyDescent="0.35">
      <c r="A123" s="148"/>
      <c r="B123" s="145"/>
      <c r="C123" s="145"/>
      <c r="D123" s="145"/>
      <c r="E123" s="145"/>
      <c r="F123" s="145"/>
      <c r="G123" s="145"/>
      <c r="H123" s="145"/>
      <c r="I123" s="145"/>
      <c r="J123" s="145"/>
      <c r="K123" s="145"/>
      <c r="L123" s="145"/>
      <c r="M123" s="145"/>
      <c r="N123" s="145"/>
      <c r="O123" s="145"/>
      <c r="P123" s="9">
        <v>3</v>
      </c>
      <c r="Q123" s="10" t="s">
        <v>248</v>
      </c>
      <c r="R123" s="9" t="s">
        <v>29</v>
      </c>
      <c r="S123" s="122">
        <v>6.6699999999999997E-3</v>
      </c>
      <c r="T123" s="11">
        <f>S123/SUM(S121:S124)</f>
        <v>0.33333333333333331</v>
      </c>
      <c r="U123" s="144"/>
      <c r="V123" s="151"/>
      <c r="W123" s="144"/>
    </row>
    <row r="124" spans="1:23" ht="27.75" customHeight="1" thickBot="1" x14ac:dyDescent="0.4">
      <c r="A124" s="145"/>
      <c r="B124" s="145"/>
      <c r="C124" s="146"/>
      <c r="D124" s="146"/>
      <c r="E124" s="146"/>
      <c r="F124" s="146"/>
      <c r="G124" s="146"/>
      <c r="H124" s="146"/>
      <c r="I124" s="146"/>
      <c r="J124" s="146"/>
      <c r="K124" s="146"/>
      <c r="L124" s="146"/>
      <c r="M124" s="146"/>
      <c r="N124" s="146"/>
      <c r="O124" s="146"/>
      <c r="P124" s="26">
        <v>4</v>
      </c>
      <c r="Q124" s="27" t="s">
        <v>174</v>
      </c>
      <c r="R124" s="28" t="s">
        <v>128</v>
      </c>
      <c r="S124" s="127"/>
      <c r="T124" s="29"/>
      <c r="U124" s="145"/>
      <c r="V124" s="145"/>
      <c r="W124" s="145"/>
    </row>
    <row r="125" spans="1:23" ht="27.75" customHeight="1" x14ac:dyDescent="0.35">
      <c r="A125" s="145"/>
      <c r="B125" s="145"/>
      <c r="C125" s="162" t="s">
        <v>250</v>
      </c>
      <c r="D125" s="165" t="s">
        <v>24</v>
      </c>
      <c r="E125" s="147" t="s">
        <v>251</v>
      </c>
      <c r="F125" s="147" t="s">
        <v>252</v>
      </c>
      <c r="G125" s="147" t="s">
        <v>253</v>
      </c>
      <c r="H125" s="147"/>
      <c r="I125" s="159"/>
      <c r="J125" s="147"/>
      <c r="K125" s="159"/>
      <c r="L125" s="147" t="s">
        <v>54</v>
      </c>
      <c r="M125" s="161">
        <v>0.05</v>
      </c>
      <c r="N125" s="147" t="s">
        <v>254</v>
      </c>
      <c r="O125" s="147" t="s">
        <v>255</v>
      </c>
      <c r="P125" s="30">
        <v>1</v>
      </c>
      <c r="Q125" s="31" t="s">
        <v>238</v>
      </c>
      <c r="R125" s="30" t="s">
        <v>54</v>
      </c>
      <c r="S125" s="128">
        <v>0.05</v>
      </c>
      <c r="T125" s="32">
        <f>S125/SUM(S125:S126)</f>
        <v>1</v>
      </c>
      <c r="U125" s="145"/>
      <c r="V125" s="145"/>
      <c r="W125" s="145"/>
    </row>
    <row r="126" spans="1:23" ht="15.75" customHeight="1" thickBot="1" x14ac:dyDescent="0.4">
      <c r="A126" s="146"/>
      <c r="B126" s="153"/>
      <c r="C126" s="146"/>
      <c r="D126" s="146"/>
      <c r="E126" s="146"/>
      <c r="F126" s="146"/>
      <c r="G126" s="146"/>
      <c r="H126" s="146"/>
      <c r="I126" s="146"/>
      <c r="J126" s="146"/>
      <c r="K126" s="146"/>
      <c r="L126" s="146"/>
      <c r="M126" s="146"/>
      <c r="N126" s="146"/>
      <c r="O126" s="146"/>
      <c r="P126" s="26">
        <v>2</v>
      </c>
      <c r="Q126" s="27" t="s">
        <v>174</v>
      </c>
      <c r="R126" s="28" t="s">
        <v>128</v>
      </c>
      <c r="S126" s="127"/>
      <c r="T126" s="29"/>
      <c r="U126" s="146"/>
      <c r="V126" s="146"/>
      <c r="W126" s="146"/>
    </row>
    <row r="127" spans="1:23" ht="43.5" customHeight="1" x14ac:dyDescent="0.35">
      <c r="A127" s="148"/>
      <c r="B127" s="170" t="s">
        <v>249</v>
      </c>
      <c r="U127" s="147"/>
      <c r="V127" s="159"/>
      <c r="W127" s="147"/>
    </row>
    <row r="128" spans="1:23" ht="43.5" customHeight="1" x14ac:dyDescent="0.35">
      <c r="A128" s="146"/>
      <c r="B128" s="146"/>
      <c r="U128" s="146"/>
      <c r="V128" s="146"/>
      <c r="W128" s="146"/>
    </row>
  </sheetData>
  <mergeCells count="500">
    <mergeCell ref="A111:A114"/>
    <mergeCell ref="M79:M83"/>
    <mergeCell ref="C109:C112"/>
    <mergeCell ref="U119:U122"/>
    <mergeCell ref="G105:G108"/>
    <mergeCell ref="M74:M78"/>
    <mergeCell ref="U91:U94"/>
    <mergeCell ref="W91:W94"/>
    <mergeCell ref="D109:D112"/>
    <mergeCell ref="J93:J96"/>
    <mergeCell ref="O25:O28"/>
    <mergeCell ref="U41:U44"/>
    <mergeCell ref="W35:W38"/>
    <mergeCell ref="H45:H48"/>
    <mergeCell ref="J79:J83"/>
    <mergeCell ref="L70:L73"/>
    <mergeCell ref="D63:D69"/>
    <mergeCell ref="F63:F69"/>
    <mergeCell ref="U55:U58"/>
    <mergeCell ref="D35:D38"/>
    <mergeCell ref="J49:J52"/>
    <mergeCell ref="W2:W4"/>
    <mergeCell ref="O2:O4"/>
    <mergeCell ref="M105:M108"/>
    <mergeCell ref="O105:O108"/>
    <mergeCell ref="O125:O126"/>
    <mergeCell ref="G125:G126"/>
    <mergeCell ref="I125:I126"/>
    <mergeCell ref="A95:A98"/>
    <mergeCell ref="U103:U106"/>
    <mergeCell ref="G5:G8"/>
    <mergeCell ref="I5:I8"/>
    <mergeCell ref="M25:M28"/>
    <mergeCell ref="U47:U50"/>
    <mergeCell ref="W47:W50"/>
    <mergeCell ref="A72:A75"/>
    <mergeCell ref="C70:C73"/>
    <mergeCell ref="W111:W114"/>
    <mergeCell ref="M39:M42"/>
    <mergeCell ref="V41:V44"/>
    <mergeCell ref="N43:N44"/>
    <mergeCell ref="V95:V98"/>
    <mergeCell ref="D97:D100"/>
    <mergeCell ref="V72:V75"/>
    <mergeCell ref="N19:N23"/>
    <mergeCell ref="W45:W46"/>
    <mergeCell ref="O43:O44"/>
    <mergeCell ref="C79:C83"/>
    <mergeCell ref="W95:W98"/>
    <mergeCell ref="C35:C38"/>
    <mergeCell ref="K117:K120"/>
    <mergeCell ref="M117:M120"/>
    <mergeCell ref="H121:H124"/>
    <mergeCell ref="J121:J124"/>
    <mergeCell ref="L79:L83"/>
    <mergeCell ref="U72:U75"/>
    <mergeCell ref="W72:W75"/>
    <mergeCell ref="V86:V90"/>
    <mergeCell ref="J101:J104"/>
    <mergeCell ref="L49:L52"/>
    <mergeCell ref="N105:N108"/>
    <mergeCell ref="G84:G88"/>
    <mergeCell ref="I84:I88"/>
    <mergeCell ref="N74:N78"/>
    <mergeCell ref="H70:H73"/>
    <mergeCell ref="E89:E92"/>
    <mergeCell ref="G89:G92"/>
    <mergeCell ref="E39:E42"/>
    <mergeCell ref="L57:L62"/>
    <mergeCell ref="G121:G124"/>
    <mergeCell ref="O89:O92"/>
    <mergeCell ref="E25:E28"/>
    <mergeCell ref="N117:N120"/>
    <mergeCell ref="I121:I124"/>
    <mergeCell ref="G25:G28"/>
    <mergeCell ref="L117:L120"/>
    <mergeCell ref="A127:A128"/>
    <mergeCell ref="V47:V50"/>
    <mergeCell ref="V81:V85"/>
    <mergeCell ref="A86:A90"/>
    <mergeCell ref="N39:N42"/>
    <mergeCell ref="K53:K56"/>
    <mergeCell ref="M53:M56"/>
    <mergeCell ref="O109:O112"/>
    <mergeCell ref="B47:B58"/>
    <mergeCell ref="O29:O34"/>
    <mergeCell ref="N57:N62"/>
    <mergeCell ref="K79:K83"/>
    <mergeCell ref="E63:E69"/>
    <mergeCell ref="G63:G69"/>
    <mergeCell ref="G97:G100"/>
    <mergeCell ref="I97:I100"/>
    <mergeCell ref="E35:E38"/>
    <mergeCell ref="F43:F44"/>
    <mergeCell ref="U95:U98"/>
    <mergeCell ref="A81:A85"/>
    <mergeCell ref="C45:C48"/>
    <mergeCell ref="J97:J100"/>
    <mergeCell ref="V2:V4"/>
    <mergeCell ref="C49:C52"/>
    <mergeCell ref="G2:G4"/>
    <mergeCell ref="M89:M92"/>
    <mergeCell ref="K14:K18"/>
    <mergeCell ref="L5:L8"/>
    <mergeCell ref="I2:I4"/>
    <mergeCell ref="N5:N8"/>
    <mergeCell ref="D19:D23"/>
    <mergeCell ref="F19:F23"/>
    <mergeCell ref="C39:C42"/>
    <mergeCell ref="H19:H23"/>
    <mergeCell ref="K49:K52"/>
    <mergeCell ref="E49:E52"/>
    <mergeCell ref="H84:H88"/>
    <mergeCell ref="A5:A8"/>
    <mergeCell ref="A47:A50"/>
    <mergeCell ref="N2:N4"/>
    <mergeCell ref="N109:N112"/>
    <mergeCell ref="I113:I116"/>
    <mergeCell ref="K113:K116"/>
    <mergeCell ref="F39:F42"/>
    <mergeCell ref="C113:C116"/>
    <mergeCell ref="U127:U128"/>
    <mergeCell ref="J14:J18"/>
    <mergeCell ref="E43:E44"/>
    <mergeCell ref="M93:M96"/>
    <mergeCell ref="G43:G44"/>
    <mergeCell ref="O93:O96"/>
    <mergeCell ref="C117:C120"/>
    <mergeCell ref="E117:E120"/>
    <mergeCell ref="K101:K104"/>
    <mergeCell ref="H105:H108"/>
    <mergeCell ref="M101:M104"/>
    <mergeCell ref="M70:M73"/>
    <mergeCell ref="I29:I34"/>
    <mergeCell ref="M45:M48"/>
    <mergeCell ref="O70:O73"/>
    <mergeCell ref="E70:E73"/>
    <mergeCell ref="G70:G73"/>
    <mergeCell ref="M109:M112"/>
    <mergeCell ref="L89:L92"/>
    <mergeCell ref="F2:F4"/>
    <mergeCell ref="H2:H4"/>
    <mergeCell ref="F105:F108"/>
    <mergeCell ref="D74:D78"/>
    <mergeCell ref="F74:F78"/>
    <mergeCell ref="N35:N38"/>
    <mergeCell ref="W81:W85"/>
    <mergeCell ref="L101:L104"/>
    <mergeCell ref="D57:D62"/>
    <mergeCell ref="N45:N48"/>
    <mergeCell ref="W51:W54"/>
    <mergeCell ref="I9:I13"/>
    <mergeCell ref="J53:J56"/>
    <mergeCell ref="L53:L56"/>
    <mergeCell ref="U5:U8"/>
    <mergeCell ref="N89:N92"/>
    <mergeCell ref="F25:F28"/>
    <mergeCell ref="H25:H28"/>
    <mergeCell ref="U59:U64"/>
    <mergeCell ref="M57:M62"/>
    <mergeCell ref="G14:G18"/>
    <mergeCell ref="I14:I18"/>
    <mergeCell ref="H35:H38"/>
    <mergeCell ref="D43:D44"/>
    <mergeCell ref="V5:V8"/>
    <mergeCell ref="F117:F120"/>
    <mergeCell ref="A123:A126"/>
    <mergeCell ref="H29:H34"/>
    <mergeCell ref="L45:L48"/>
    <mergeCell ref="N70:N73"/>
    <mergeCell ref="J29:J34"/>
    <mergeCell ref="A103:A106"/>
    <mergeCell ref="E5:E8"/>
    <mergeCell ref="C101:C104"/>
    <mergeCell ref="H63:H69"/>
    <mergeCell ref="E74:E78"/>
    <mergeCell ref="G74:G78"/>
    <mergeCell ref="A55:A58"/>
    <mergeCell ref="O39:O42"/>
    <mergeCell ref="C53:C56"/>
    <mergeCell ref="V59:V64"/>
    <mergeCell ref="O35:O38"/>
    <mergeCell ref="H14:H18"/>
    <mergeCell ref="G9:G13"/>
    <mergeCell ref="M43:M44"/>
    <mergeCell ref="V123:V126"/>
    <mergeCell ref="D39:D42"/>
    <mergeCell ref="E57:E62"/>
    <mergeCell ref="B2:B13"/>
    <mergeCell ref="U9:U13"/>
    <mergeCell ref="I63:I69"/>
    <mergeCell ref="D45:D48"/>
    <mergeCell ref="F45:F48"/>
    <mergeCell ref="K63:K69"/>
    <mergeCell ref="I35:I38"/>
    <mergeCell ref="A115:A118"/>
    <mergeCell ref="H9:H13"/>
    <mergeCell ref="F109:F112"/>
    <mergeCell ref="H109:H112"/>
    <mergeCell ref="A35:A38"/>
    <mergeCell ref="K5:K8"/>
    <mergeCell ref="C5:C8"/>
    <mergeCell ref="M5:M8"/>
    <mergeCell ref="L93:L96"/>
    <mergeCell ref="E105:E108"/>
    <mergeCell ref="D89:D92"/>
    <mergeCell ref="F89:F92"/>
    <mergeCell ref="U14:U18"/>
    <mergeCell ref="K57:K62"/>
    <mergeCell ref="C57:C62"/>
    <mergeCell ref="F35:F38"/>
    <mergeCell ref="O45:O48"/>
    <mergeCell ref="A29:A34"/>
    <mergeCell ref="E45:E48"/>
    <mergeCell ref="J63:J69"/>
    <mergeCell ref="G45:G48"/>
    <mergeCell ref="B24:B46"/>
    <mergeCell ref="C63:C69"/>
    <mergeCell ref="K2:K4"/>
    <mergeCell ref="L125:L126"/>
    <mergeCell ref="V127:V128"/>
    <mergeCell ref="A14:A18"/>
    <mergeCell ref="D93:D96"/>
    <mergeCell ref="I25:I28"/>
    <mergeCell ref="M121:M124"/>
    <mergeCell ref="A99:A102"/>
    <mergeCell ref="F93:F96"/>
    <mergeCell ref="E121:E124"/>
    <mergeCell ref="C125:C126"/>
    <mergeCell ref="H49:H52"/>
    <mergeCell ref="D70:D73"/>
    <mergeCell ref="F70:F73"/>
    <mergeCell ref="U115:U118"/>
    <mergeCell ref="L84:L88"/>
    <mergeCell ref="N84:N88"/>
    <mergeCell ref="O53:O56"/>
    <mergeCell ref="C84:C88"/>
    <mergeCell ref="J89:J92"/>
    <mergeCell ref="J25:J28"/>
    <mergeCell ref="E93:E96"/>
    <mergeCell ref="W59:W64"/>
    <mergeCell ref="L25:L28"/>
    <mergeCell ref="G93:G96"/>
    <mergeCell ref="B14:B23"/>
    <mergeCell ref="O57:O62"/>
    <mergeCell ref="V14:V18"/>
    <mergeCell ref="G35:G38"/>
    <mergeCell ref="N79:N83"/>
    <mergeCell ref="U29:U34"/>
    <mergeCell ref="W29:W34"/>
    <mergeCell ref="H39:H42"/>
    <mergeCell ref="N49:N52"/>
    <mergeCell ref="K84:K88"/>
    <mergeCell ref="E53:E56"/>
    <mergeCell ref="M84:M88"/>
    <mergeCell ref="K89:K92"/>
    <mergeCell ref="O79:O83"/>
    <mergeCell ref="W14:W18"/>
    <mergeCell ref="G39:G42"/>
    <mergeCell ref="O49:O52"/>
    <mergeCell ref="B127:B128"/>
    <mergeCell ref="D125:D126"/>
    <mergeCell ref="F84:F88"/>
    <mergeCell ref="C93:C96"/>
    <mergeCell ref="D5:D8"/>
    <mergeCell ref="V55:V58"/>
    <mergeCell ref="A65:A71"/>
    <mergeCell ref="N53:N56"/>
    <mergeCell ref="M113:M116"/>
    <mergeCell ref="O113:O116"/>
    <mergeCell ref="V9:V13"/>
    <mergeCell ref="H79:H83"/>
    <mergeCell ref="K121:K124"/>
    <mergeCell ref="K43:K44"/>
    <mergeCell ref="V29:V34"/>
    <mergeCell ref="O101:O104"/>
    <mergeCell ref="A9:A13"/>
    <mergeCell ref="I19:I23"/>
    <mergeCell ref="V65:V71"/>
    <mergeCell ref="U107:U110"/>
    <mergeCell ref="A19:A23"/>
    <mergeCell ref="K19:K23"/>
    <mergeCell ref="C19:C23"/>
    <mergeCell ref="F49:F52"/>
    <mergeCell ref="F9:F13"/>
    <mergeCell ref="W86:W90"/>
    <mergeCell ref="J2:J4"/>
    <mergeCell ref="L2:L4"/>
    <mergeCell ref="J105:J108"/>
    <mergeCell ref="H74:H78"/>
    <mergeCell ref="I79:I83"/>
    <mergeCell ref="L121:L124"/>
    <mergeCell ref="N121:N124"/>
    <mergeCell ref="W99:W102"/>
    <mergeCell ref="W5:W8"/>
    <mergeCell ref="W115:W118"/>
    <mergeCell ref="K9:K13"/>
    <mergeCell ref="M9:M13"/>
    <mergeCell ref="O117:O120"/>
    <mergeCell ref="W103:W106"/>
    <mergeCell ref="L105:L108"/>
    <mergeCell ref="G109:G112"/>
    <mergeCell ref="U123:U126"/>
    <mergeCell ref="V115:V118"/>
    <mergeCell ref="J9:J13"/>
    <mergeCell ref="H97:H100"/>
    <mergeCell ref="J113:J116"/>
    <mergeCell ref="L113:L116"/>
    <mergeCell ref="U2:U4"/>
    <mergeCell ref="J117:J120"/>
    <mergeCell ref="C121:C124"/>
    <mergeCell ref="V99:V102"/>
    <mergeCell ref="G79:G83"/>
    <mergeCell ref="L29:L34"/>
    <mergeCell ref="U65:U71"/>
    <mergeCell ref="J19:J23"/>
    <mergeCell ref="N29:N34"/>
    <mergeCell ref="L19:L23"/>
    <mergeCell ref="D2:D4"/>
    <mergeCell ref="G49:G52"/>
    <mergeCell ref="I49:I52"/>
    <mergeCell ref="N101:N104"/>
    <mergeCell ref="D84:D88"/>
    <mergeCell ref="I74:I78"/>
    <mergeCell ref="K74:K78"/>
    <mergeCell ref="K25:K28"/>
    <mergeCell ref="L14:L18"/>
    <mergeCell ref="U35:U38"/>
    <mergeCell ref="N14:N18"/>
    <mergeCell ref="C9:C13"/>
    <mergeCell ref="I43:I44"/>
    <mergeCell ref="U99:U102"/>
    <mergeCell ref="M2:M4"/>
    <mergeCell ref="K105:K108"/>
    <mergeCell ref="M125:M126"/>
    <mergeCell ref="E125:E126"/>
    <mergeCell ref="H89:H92"/>
    <mergeCell ref="G57:G62"/>
    <mergeCell ref="I57:I62"/>
    <mergeCell ref="W55:W58"/>
    <mergeCell ref="N9:N13"/>
    <mergeCell ref="N113:N116"/>
    <mergeCell ref="I39:I42"/>
    <mergeCell ref="U111:U114"/>
    <mergeCell ref="W9:W13"/>
    <mergeCell ref="K39:K42"/>
    <mergeCell ref="F14:F18"/>
    <mergeCell ref="F53:F56"/>
    <mergeCell ref="H53:H56"/>
    <mergeCell ref="M14:M18"/>
    <mergeCell ref="O14:O18"/>
    <mergeCell ref="H43:H44"/>
    <mergeCell ref="U25:U28"/>
    <mergeCell ref="J43:J44"/>
    <mergeCell ref="L43:L44"/>
    <mergeCell ref="O97:O100"/>
    <mergeCell ref="L9:L13"/>
    <mergeCell ref="W123:W126"/>
    <mergeCell ref="V35:V38"/>
    <mergeCell ref="D9:D13"/>
    <mergeCell ref="C25:C28"/>
    <mergeCell ref="F57:F62"/>
    <mergeCell ref="A41:A44"/>
    <mergeCell ref="H57:H62"/>
    <mergeCell ref="E79:E83"/>
    <mergeCell ref="J57:J62"/>
    <mergeCell ref="D14:D18"/>
    <mergeCell ref="V51:V54"/>
    <mergeCell ref="K97:K100"/>
    <mergeCell ref="O9:O13"/>
    <mergeCell ref="C97:C100"/>
    <mergeCell ref="M97:M100"/>
    <mergeCell ref="E97:E100"/>
    <mergeCell ref="M19:M23"/>
    <mergeCell ref="O19:O23"/>
    <mergeCell ref="I105:I108"/>
    <mergeCell ref="B59:B90"/>
    <mergeCell ref="V103:V106"/>
    <mergeCell ref="H117:H120"/>
    <mergeCell ref="W65:W71"/>
    <mergeCell ref="A2:A4"/>
    <mergeCell ref="J84:J88"/>
    <mergeCell ref="C2:C4"/>
    <mergeCell ref="A107:A110"/>
    <mergeCell ref="I89:I92"/>
    <mergeCell ref="A76:A80"/>
    <mergeCell ref="A25:A28"/>
    <mergeCell ref="U45:U46"/>
    <mergeCell ref="K35:K38"/>
    <mergeCell ref="U19:U23"/>
    <mergeCell ref="L39:L42"/>
    <mergeCell ref="G53:G56"/>
    <mergeCell ref="O84:O88"/>
    <mergeCell ref="I53:I56"/>
    <mergeCell ref="M29:M34"/>
    <mergeCell ref="H5:H8"/>
    <mergeCell ref="A51:A54"/>
    <mergeCell ref="F101:F104"/>
    <mergeCell ref="J5:J8"/>
    <mergeCell ref="E2:E4"/>
    <mergeCell ref="C105:C108"/>
    <mergeCell ref="H101:H104"/>
    <mergeCell ref="C74:C78"/>
    <mergeCell ref="M63:M69"/>
    <mergeCell ref="E14:E18"/>
    <mergeCell ref="H93:H96"/>
    <mergeCell ref="V119:V122"/>
    <mergeCell ref="L97:L100"/>
    <mergeCell ref="V25:V28"/>
    <mergeCell ref="N97:N100"/>
    <mergeCell ref="V19:V23"/>
    <mergeCell ref="D29:D34"/>
    <mergeCell ref="J70:J73"/>
    <mergeCell ref="F29:F34"/>
    <mergeCell ref="V107:V110"/>
    <mergeCell ref="I109:I112"/>
    <mergeCell ref="F113:F116"/>
    <mergeCell ref="V76:V80"/>
    <mergeCell ref="K109:K112"/>
    <mergeCell ref="H113:H116"/>
    <mergeCell ref="G117:G120"/>
    <mergeCell ref="I117:I120"/>
    <mergeCell ref="E84:E88"/>
    <mergeCell ref="O63:O69"/>
    <mergeCell ref="L74:L78"/>
    <mergeCell ref="M35:M38"/>
    <mergeCell ref="F79:F83"/>
    <mergeCell ref="K29:K34"/>
    <mergeCell ref="A45:A46"/>
    <mergeCell ref="N25:N28"/>
    <mergeCell ref="I93:I96"/>
    <mergeCell ref="C43:C44"/>
    <mergeCell ref="F97:F100"/>
    <mergeCell ref="K93:K96"/>
    <mergeCell ref="O5:O8"/>
    <mergeCell ref="A119:A122"/>
    <mergeCell ref="G101:G104"/>
    <mergeCell ref="I101:I104"/>
    <mergeCell ref="J74:J78"/>
    <mergeCell ref="D105:D108"/>
    <mergeCell ref="C29:C34"/>
    <mergeCell ref="L63:L69"/>
    <mergeCell ref="I70:I73"/>
    <mergeCell ref="N63:N69"/>
    <mergeCell ref="E29:E34"/>
    <mergeCell ref="I45:I48"/>
    <mergeCell ref="K45:K48"/>
    <mergeCell ref="K70:K73"/>
    <mergeCell ref="D25:D28"/>
    <mergeCell ref="J39:J42"/>
    <mergeCell ref="J35:J38"/>
    <mergeCell ref="C14:C18"/>
    <mergeCell ref="E19:E23"/>
    <mergeCell ref="L109:L112"/>
    <mergeCell ref="G113:G116"/>
    <mergeCell ref="W76:W80"/>
    <mergeCell ref="G19:G23"/>
    <mergeCell ref="J109:J112"/>
    <mergeCell ref="W127:W128"/>
    <mergeCell ref="D49:D52"/>
    <mergeCell ref="V91:V94"/>
    <mergeCell ref="L35:L38"/>
    <mergeCell ref="W19:W23"/>
    <mergeCell ref="D121:D124"/>
    <mergeCell ref="F121:F124"/>
    <mergeCell ref="E109:E112"/>
    <mergeCell ref="D113:D116"/>
    <mergeCell ref="N125:N126"/>
    <mergeCell ref="D101:D104"/>
    <mergeCell ref="K125:K126"/>
    <mergeCell ref="D53:D56"/>
    <mergeCell ref="N93:N96"/>
    <mergeCell ref="D117:D120"/>
    <mergeCell ref="D79:D83"/>
    <mergeCell ref="G29:G34"/>
    <mergeCell ref="U86:U90"/>
    <mergeCell ref="W119:W122"/>
    <mergeCell ref="F125:F126"/>
    <mergeCell ref="H125:H126"/>
    <mergeCell ref="A59:A64"/>
    <mergeCell ref="W25:W28"/>
    <mergeCell ref="J125:J126"/>
    <mergeCell ref="M49:M52"/>
    <mergeCell ref="F5:F8"/>
    <mergeCell ref="O74:O78"/>
    <mergeCell ref="W41:W44"/>
    <mergeCell ref="E101:E104"/>
    <mergeCell ref="V111:V114"/>
    <mergeCell ref="V45:V46"/>
    <mergeCell ref="B91:B126"/>
    <mergeCell ref="O121:O124"/>
    <mergeCell ref="A91:A94"/>
    <mergeCell ref="C89:C92"/>
    <mergeCell ref="U81:U85"/>
    <mergeCell ref="J45:J48"/>
    <mergeCell ref="E9:E13"/>
    <mergeCell ref="U51:U54"/>
    <mergeCell ref="W107:W110"/>
    <mergeCell ref="E113:E116"/>
    <mergeCell ref="U76:U80"/>
  </mergeCell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G57"/>
  <sheetViews>
    <sheetView topLeftCell="B19" zoomScaleNormal="100" workbookViewId="0">
      <selection activeCell="D20" sqref="D20"/>
    </sheetView>
  </sheetViews>
  <sheetFormatPr baseColWidth="10" defaultColWidth="9.1796875" defaultRowHeight="14.5" x14ac:dyDescent="0.35"/>
  <cols>
    <col min="3" max="3" width="71" style="33" customWidth="1"/>
    <col min="4" max="7" width="25" style="34" customWidth="1"/>
    <col min="8" max="8" width="25" customWidth="1"/>
    <col min="9" max="9" width="10.1796875" customWidth="1"/>
  </cols>
  <sheetData>
    <row r="4" spans="3:7" x14ac:dyDescent="0.35">
      <c r="C4" s="35" t="s">
        <v>256</v>
      </c>
    </row>
    <row r="5" spans="3:7" ht="16.5" customHeight="1" x14ac:dyDescent="0.45">
      <c r="C5" s="36" t="s">
        <v>257</v>
      </c>
      <c r="D5" s="34" t="s">
        <v>258</v>
      </c>
      <c r="E5" s="34" t="s">
        <v>56</v>
      </c>
      <c r="F5" s="34" t="s">
        <v>68</v>
      </c>
    </row>
    <row r="6" spans="3:7" ht="16.5" customHeight="1" x14ac:dyDescent="0.45">
      <c r="C6" s="36" t="s">
        <v>259</v>
      </c>
      <c r="D6" s="34" t="s">
        <v>112</v>
      </c>
      <c r="E6" s="34" t="s">
        <v>56</v>
      </c>
      <c r="F6" s="34" t="s">
        <v>68</v>
      </c>
    </row>
    <row r="7" spans="3:7" ht="16.5" customHeight="1" x14ac:dyDescent="0.45">
      <c r="C7" s="36" t="s">
        <v>260</v>
      </c>
      <c r="D7" s="34" t="s">
        <v>112</v>
      </c>
      <c r="E7" s="34" t="s">
        <v>56</v>
      </c>
      <c r="F7" s="34" t="s">
        <v>261</v>
      </c>
      <c r="G7" s="34" t="s">
        <v>68</v>
      </c>
    </row>
    <row r="8" spans="3:7" ht="16.5" customHeight="1" x14ac:dyDescent="0.45">
      <c r="C8" s="36" t="s">
        <v>262</v>
      </c>
      <c r="D8" s="34" t="s">
        <v>56</v>
      </c>
      <c r="E8" s="34" t="s">
        <v>263</v>
      </c>
      <c r="F8" s="34" t="s">
        <v>264</v>
      </c>
      <c r="G8" s="34" t="s">
        <v>265</v>
      </c>
    </row>
    <row r="9" spans="3:7" ht="16.5" customHeight="1" x14ac:dyDescent="0.45">
      <c r="C9" s="36" t="s">
        <v>266</v>
      </c>
      <c r="D9" s="34" t="s">
        <v>267</v>
      </c>
    </row>
    <row r="12" spans="3:7" x14ac:dyDescent="0.35">
      <c r="C12" s="35" t="s">
        <v>268</v>
      </c>
    </row>
    <row r="13" spans="3:7" ht="16.5" customHeight="1" x14ac:dyDescent="0.45">
      <c r="C13" s="37" t="s">
        <v>269</v>
      </c>
    </row>
    <row r="14" spans="3:7" ht="16.5" customHeight="1" x14ac:dyDescent="0.45">
      <c r="C14" s="38" t="s">
        <v>270</v>
      </c>
    </row>
    <row r="15" spans="3:7" ht="16.5" customHeight="1" x14ac:dyDescent="0.45">
      <c r="C15" s="38" t="s">
        <v>271</v>
      </c>
    </row>
    <row r="17" spans="3:3" x14ac:dyDescent="0.35">
      <c r="C17" s="35" t="s">
        <v>272</v>
      </c>
    </row>
    <row r="18" spans="3:3" ht="16.5" customHeight="1" x14ac:dyDescent="0.45">
      <c r="C18" s="38" t="s">
        <v>273</v>
      </c>
    </row>
    <row r="19" spans="3:3" ht="16.5" customHeight="1" x14ac:dyDescent="0.45">
      <c r="C19" s="38" t="s">
        <v>274</v>
      </c>
    </row>
    <row r="20" spans="3:3" ht="16.5" customHeight="1" x14ac:dyDescent="0.45">
      <c r="C20" s="38" t="s">
        <v>275</v>
      </c>
    </row>
    <row r="22" spans="3:3" ht="20.25" customHeight="1" x14ac:dyDescent="0.55000000000000004">
      <c r="C22" s="39" t="s">
        <v>276</v>
      </c>
    </row>
    <row r="23" spans="3:3" ht="16.5" customHeight="1" x14ac:dyDescent="0.45">
      <c r="C23" s="38" t="s">
        <v>277</v>
      </c>
    </row>
    <row r="24" spans="3:3" ht="16.5" customHeight="1" x14ac:dyDescent="0.45">
      <c r="C24" s="38" t="s">
        <v>278</v>
      </c>
    </row>
    <row r="25" spans="3:3" ht="16.5" customHeight="1" x14ac:dyDescent="0.45">
      <c r="C25" s="38" t="s">
        <v>279</v>
      </c>
    </row>
    <row r="26" spans="3:3" ht="16.5" customHeight="1" x14ac:dyDescent="0.45">
      <c r="C26" s="38" t="s">
        <v>280</v>
      </c>
    </row>
    <row r="31" spans="3:3" ht="25.5" customHeight="1" x14ac:dyDescent="0.65">
      <c r="C31" s="40" t="s">
        <v>281</v>
      </c>
    </row>
    <row r="32" spans="3:3" ht="20.25" customHeight="1" x14ac:dyDescent="0.55000000000000004">
      <c r="C32" s="39" t="s">
        <v>282</v>
      </c>
    </row>
    <row r="33" spans="3:3" ht="16.5" customHeight="1" x14ac:dyDescent="0.45">
      <c r="C33" s="38" t="s">
        <v>283</v>
      </c>
    </row>
    <row r="34" spans="3:3" ht="16.5" customHeight="1" x14ac:dyDescent="0.45">
      <c r="C34" s="38" t="s">
        <v>284</v>
      </c>
    </row>
    <row r="35" spans="3:3" ht="16.5" customHeight="1" x14ac:dyDescent="0.45">
      <c r="C35" s="38" t="s">
        <v>285</v>
      </c>
    </row>
    <row r="36" spans="3:3" ht="16.5" customHeight="1" x14ac:dyDescent="0.45">
      <c r="C36" s="38" t="s">
        <v>286</v>
      </c>
    </row>
    <row r="37" spans="3:3" ht="20.25" customHeight="1" x14ac:dyDescent="0.55000000000000004">
      <c r="C37" s="39" t="s">
        <v>287</v>
      </c>
    </row>
    <row r="38" spans="3:3" ht="16.5" customHeight="1" x14ac:dyDescent="0.45">
      <c r="C38" s="38" t="s">
        <v>288</v>
      </c>
    </row>
    <row r="39" spans="3:3" ht="16.5" customHeight="1" x14ac:dyDescent="0.45">
      <c r="C39" s="38" t="s">
        <v>289</v>
      </c>
    </row>
    <row r="40" spans="3:3" ht="16.5" customHeight="1" x14ac:dyDescent="0.45">
      <c r="C40" s="38" t="s">
        <v>290</v>
      </c>
    </row>
    <row r="41" spans="3:3" ht="16.5" customHeight="1" x14ac:dyDescent="0.45">
      <c r="C41" s="38" t="s">
        <v>291</v>
      </c>
    </row>
    <row r="42" spans="3:3" ht="20.25" customHeight="1" x14ac:dyDescent="0.55000000000000004">
      <c r="C42" s="39" t="s">
        <v>292</v>
      </c>
    </row>
    <row r="43" spans="3:3" ht="16.5" customHeight="1" x14ac:dyDescent="0.45">
      <c r="C43" s="38" t="s">
        <v>293</v>
      </c>
    </row>
    <row r="44" spans="3:3" ht="16.5" customHeight="1" x14ac:dyDescent="0.45">
      <c r="C44" s="38" t="s">
        <v>294</v>
      </c>
    </row>
    <row r="45" spans="3:3" ht="16.5" customHeight="1" x14ac:dyDescent="0.45">
      <c r="C45" s="38" t="s">
        <v>295</v>
      </c>
    </row>
    <row r="46" spans="3:3" ht="20.25" customHeight="1" x14ac:dyDescent="0.55000000000000004">
      <c r="C46" s="39" t="s">
        <v>296</v>
      </c>
    </row>
    <row r="47" spans="3:3" ht="16.5" customHeight="1" x14ac:dyDescent="0.45">
      <c r="C47" s="41" t="s">
        <v>297</v>
      </c>
    </row>
    <row r="48" spans="3:3" ht="16.5" customHeight="1" x14ac:dyDescent="0.45">
      <c r="C48" s="41" t="s">
        <v>298</v>
      </c>
    </row>
    <row r="49" spans="3:3" ht="16.5" customHeight="1" x14ac:dyDescent="0.45">
      <c r="C49" s="41" t="s">
        <v>299</v>
      </c>
    </row>
    <row r="50" spans="3:3" ht="16.5" customHeight="1" x14ac:dyDescent="0.45">
      <c r="C50" s="38" t="s">
        <v>300</v>
      </c>
    </row>
    <row r="51" spans="3:3" ht="20.25" customHeight="1" x14ac:dyDescent="0.55000000000000004">
      <c r="C51" s="39" t="s">
        <v>301</v>
      </c>
    </row>
    <row r="52" spans="3:3" ht="16.5" customHeight="1" x14ac:dyDescent="0.45">
      <c r="C52" s="38" t="s">
        <v>302</v>
      </c>
    </row>
    <row r="53" spans="3:3" ht="16.5" customHeight="1" x14ac:dyDescent="0.45">
      <c r="C53" s="38" t="s">
        <v>303</v>
      </c>
    </row>
    <row r="54" spans="3:3" ht="16.5" customHeight="1" x14ac:dyDescent="0.45">
      <c r="C54" s="38" t="s">
        <v>304</v>
      </c>
    </row>
    <row r="55" spans="3:3" ht="20.25" customHeight="1" x14ac:dyDescent="0.55000000000000004">
      <c r="C55" s="39" t="s">
        <v>305</v>
      </c>
    </row>
    <row r="56" spans="3:3" ht="16.5" customHeight="1" x14ac:dyDescent="0.45">
      <c r="C56" s="41" t="s">
        <v>306</v>
      </c>
    </row>
    <row r="57" spans="3:3" ht="16.5" customHeight="1" x14ac:dyDescent="0.45">
      <c r="C57" s="41" t="s">
        <v>307</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4"/>
  <sheetViews>
    <sheetView topLeftCell="M1" zoomScale="115" zoomScaleNormal="115" workbookViewId="0">
      <pane ySplit="3" topLeftCell="A10" activePane="bottomLeft" state="frozen"/>
      <selection activeCell="M1" sqref="M1"/>
      <selection pane="bottomLeft" activeCell="O11" sqref="O11"/>
    </sheetView>
  </sheetViews>
  <sheetFormatPr baseColWidth="10" defaultColWidth="9.1796875" defaultRowHeight="14.5" x14ac:dyDescent="0.35"/>
  <cols>
    <col min="1" max="1" width="2.7265625" style="42" hidden="1" customWidth="1"/>
    <col min="2" max="2" width="14.1796875" style="42" customWidth="1"/>
    <col min="3" max="3" width="52.1796875" style="42" customWidth="1"/>
    <col min="4" max="4" width="25.26953125" style="43" customWidth="1"/>
    <col min="5" max="5" width="44.1796875" style="43" customWidth="1"/>
    <col min="6" max="6" width="37.54296875" style="43" customWidth="1"/>
    <col min="7" max="7" width="20.26953125" style="43" customWidth="1"/>
    <col min="8" max="8" width="14.54296875" style="43" customWidth="1"/>
    <col min="9" max="9" width="25.54296875" style="43" customWidth="1"/>
    <col min="10" max="10" width="20.1796875" style="43" customWidth="1"/>
    <col min="11" max="11" width="41.7265625" style="43" customWidth="1"/>
    <col min="12" max="12" width="21.1796875" style="43" customWidth="1"/>
    <col min="13" max="13" width="51.26953125" style="43" customWidth="1"/>
    <col min="14" max="14" width="83.54296875" style="43" customWidth="1"/>
    <col min="15" max="15" width="141.26953125" style="43" customWidth="1"/>
    <col min="16" max="16" width="49.1796875" style="43" customWidth="1"/>
    <col min="17" max="17" width="7.54296875" style="43" customWidth="1"/>
    <col min="18" max="18" width="37.7265625" style="43" customWidth="1"/>
    <col min="19" max="19" width="9.1796875" style="42" customWidth="1"/>
    <col min="20" max="16384" width="9.1796875" style="42"/>
  </cols>
  <sheetData>
    <row r="1" spans="2:18" x14ac:dyDescent="0.35">
      <c r="D1" s="42"/>
      <c r="E1" s="42"/>
      <c r="O1" s="43" t="s">
        <v>308</v>
      </c>
    </row>
    <row r="3" spans="2:18" ht="25.5" customHeight="1" x14ac:dyDescent="0.35">
      <c r="B3" s="3" t="s">
        <v>0</v>
      </c>
      <c r="C3" s="3" t="s">
        <v>1</v>
      </c>
      <c r="D3" s="4" t="s">
        <v>3</v>
      </c>
      <c r="E3" s="4" t="s">
        <v>4</v>
      </c>
      <c r="F3" s="4" t="s">
        <v>5</v>
      </c>
      <c r="G3" s="4" t="s">
        <v>6</v>
      </c>
      <c r="H3" s="4" t="s">
        <v>7</v>
      </c>
      <c r="I3" s="4" t="s">
        <v>8</v>
      </c>
      <c r="J3" s="4" t="s">
        <v>9</v>
      </c>
      <c r="K3" s="4" t="s">
        <v>10</v>
      </c>
      <c r="L3" s="4" t="s">
        <v>11</v>
      </c>
      <c r="M3" s="4" t="s">
        <v>12</v>
      </c>
      <c r="N3" s="4" t="s">
        <v>13</v>
      </c>
      <c r="O3" s="4" t="s">
        <v>309</v>
      </c>
      <c r="P3" s="4" t="s">
        <v>19</v>
      </c>
      <c r="Q3" s="4" t="s">
        <v>20</v>
      </c>
      <c r="R3" s="4" t="s">
        <v>21</v>
      </c>
    </row>
    <row r="4" spans="2:18" ht="72" customHeight="1" x14ac:dyDescent="0.35">
      <c r="B4" s="185" t="s">
        <v>22</v>
      </c>
      <c r="C4" s="44" t="s">
        <v>23</v>
      </c>
      <c r="D4" s="45" t="s">
        <v>25</v>
      </c>
      <c r="E4" s="45" t="s">
        <v>26</v>
      </c>
      <c r="F4" s="45" t="s">
        <v>27</v>
      </c>
      <c r="G4" s="45" t="s">
        <v>28</v>
      </c>
      <c r="H4" s="46">
        <v>0.05</v>
      </c>
      <c r="I4" s="45" t="s">
        <v>29</v>
      </c>
      <c r="J4" s="46">
        <v>0.03</v>
      </c>
      <c r="K4" s="45"/>
      <c r="L4" s="45"/>
      <c r="M4" s="45" t="s">
        <v>30</v>
      </c>
      <c r="N4" s="45" t="s">
        <v>31</v>
      </c>
      <c r="O4" s="45" t="s">
        <v>310</v>
      </c>
      <c r="P4" s="45" t="s">
        <v>34</v>
      </c>
      <c r="Q4" s="47"/>
      <c r="R4" s="45"/>
    </row>
    <row r="5" spans="2:18" ht="72" customHeight="1" x14ac:dyDescent="0.35">
      <c r="B5" s="180"/>
      <c r="C5" s="48" t="s">
        <v>37</v>
      </c>
      <c r="D5" s="49" t="s">
        <v>38</v>
      </c>
      <c r="E5" s="50" t="s">
        <v>39</v>
      </c>
      <c r="F5" s="50" t="s">
        <v>27</v>
      </c>
      <c r="G5" s="45"/>
      <c r="H5" s="45"/>
      <c r="I5" s="45" t="s">
        <v>29</v>
      </c>
      <c r="J5" s="46">
        <v>0.03</v>
      </c>
      <c r="K5" s="45"/>
      <c r="L5" s="45"/>
      <c r="M5" s="45" t="s">
        <v>40</v>
      </c>
      <c r="N5" s="45" t="s">
        <v>41</v>
      </c>
      <c r="O5" s="45" t="s">
        <v>311</v>
      </c>
      <c r="P5" s="45" t="s">
        <v>34</v>
      </c>
      <c r="Q5" s="47"/>
      <c r="R5" s="45"/>
    </row>
    <row r="6" spans="2:18" ht="124.5" customHeight="1" x14ac:dyDescent="0.35">
      <c r="B6" s="180"/>
      <c r="C6" s="51" t="s">
        <v>46</v>
      </c>
      <c r="D6" s="52" t="s">
        <v>47</v>
      </c>
      <c r="E6" s="52" t="s">
        <v>48</v>
      </c>
      <c r="F6" s="52" t="s">
        <v>49</v>
      </c>
      <c r="G6" s="45"/>
      <c r="H6" s="45"/>
      <c r="I6" s="45" t="s">
        <v>29</v>
      </c>
      <c r="J6" s="46">
        <v>0.03</v>
      </c>
      <c r="K6" s="45" t="s">
        <v>50</v>
      </c>
      <c r="L6" s="46">
        <v>0.05</v>
      </c>
      <c r="M6" s="45" t="s">
        <v>40</v>
      </c>
      <c r="N6" s="45" t="s">
        <v>51</v>
      </c>
      <c r="O6" s="45" t="s">
        <v>312</v>
      </c>
      <c r="P6" s="50" t="s">
        <v>52</v>
      </c>
      <c r="Q6" s="53"/>
      <c r="R6" s="54"/>
    </row>
    <row r="7" spans="2:18" s="55" customFormat="1" ht="117" customHeight="1" x14ac:dyDescent="0.35">
      <c r="B7" s="187" t="s">
        <v>55</v>
      </c>
      <c r="C7" s="56" t="s">
        <v>56</v>
      </c>
      <c r="D7" s="57" t="s">
        <v>57</v>
      </c>
      <c r="E7" s="57" t="s">
        <v>58</v>
      </c>
      <c r="F7" s="57" t="s">
        <v>59</v>
      </c>
      <c r="G7" s="57"/>
      <c r="H7" s="57"/>
      <c r="I7" s="57" t="s">
        <v>29</v>
      </c>
      <c r="J7" s="58">
        <v>0.06</v>
      </c>
      <c r="K7" s="57" t="s">
        <v>50</v>
      </c>
      <c r="L7" s="58">
        <v>0.15</v>
      </c>
      <c r="M7" s="57" t="s">
        <v>60</v>
      </c>
      <c r="N7" s="57" t="s">
        <v>61</v>
      </c>
      <c r="O7" s="57" t="s">
        <v>313</v>
      </c>
      <c r="P7" s="57" t="s">
        <v>63</v>
      </c>
      <c r="Q7" s="59"/>
      <c r="R7" s="57"/>
    </row>
    <row r="8" spans="2:18" s="55" customFormat="1" ht="100.5" customHeight="1" x14ac:dyDescent="0.35">
      <c r="B8" s="184"/>
      <c r="C8" s="60" t="s">
        <v>67</v>
      </c>
      <c r="D8" s="61" t="s">
        <v>69</v>
      </c>
      <c r="E8" s="61" t="s">
        <v>58</v>
      </c>
      <c r="F8" s="61" t="s">
        <v>70</v>
      </c>
      <c r="G8" s="61"/>
      <c r="H8" s="57"/>
      <c r="I8" s="61" t="s">
        <v>29</v>
      </c>
      <c r="J8" s="58">
        <v>0.06</v>
      </c>
      <c r="K8" s="61" t="s">
        <v>50</v>
      </c>
      <c r="L8" s="58">
        <v>0.15</v>
      </c>
      <c r="M8" s="57" t="s">
        <v>71</v>
      </c>
      <c r="N8" s="57" t="s">
        <v>72</v>
      </c>
      <c r="O8" s="57" t="s">
        <v>313</v>
      </c>
      <c r="P8" s="61" t="s">
        <v>34</v>
      </c>
      <c r="Q8" s="61"/>
      <c r="R8" s="61"/>
    </row>
    <row r="9" spans="2:18" ht="72.75" customHeight="1" x14ac:dyDescent="0.35">
      <c r="B9" s="179" t="s">
        <v>73</v>
      </c>
      <c r="C9" s="62" t="s">
        <v>74</v>
      </c>
      <c r="D9" s="63" t="s">
        <v>76</v>
      </c>
      <c r="E9" s="64" t="s">
        <v>77</v>
      </c>
      <c r="F9" s="64" t="s">
        <v>78</v>
      </c>
      <c r="G9" s="64"/>
      <c r="H9" s="64"/>
      <c r="I9" s="64" t="s">
        <v>29</v>
      </c>
      <c r="J9" s="65">
        <v>0.06</v>
      </c>
      <c r="K9" s="64"/>
      <c r="L9" s="64"/>
      <c r="M9" s="64" t="s">
        <v>79</v>
      </c>
      <c r="N9" s="64" t="s">
        <v>80</v>
      </c>
      <c r="O9" s="64" t="s">
        <v>314</v>
      </c>
      <c r="P9" s="64"/>
      <c r="Q9" s="64"/>
      <c r="R9" s="64"/>
    </row>
    <row r="10" spans="2:18" ht="75" customHeight="1" x14ac:dyDescent="0.35">
      <c r="B10" s="180"/>
      <c r="C10" s="66" t="s">
        <v>82</v>
      </c>
      <c r="D10" s="67" t="s">
        <v>76</v>
      </c>
      <c r="E10" s="68" t="s">
        <v>83</v>
      </c>
      <c r="F10" s="68" t="s">
        <v>84</v>
      </c>
      <c r="G10" s="68"/>
      <c r="H10" s="68"/>
      <c r="I10" s="68" t="s">
        <v>29</v>
      </c>
      <c r="J10" s="69">
        <v>0.06</v>
      </c>
      <c r="K10" s="68" t="s">
        <v>85</v>
      </c>
      <c r="L10" s="69">
        <v>0.15</v>
      </c>
      <c r="M10" s="68" t="s">
        <v>79</v>
      </c>
      <c r="N10" s="68" t="s">
        <v>86</v>
      </c>
      <c r="O10" s="68" t="s">
        <v>315</v>
      </c>
      <c r="P10" s="68"/>
      <c r="Q10" s="68"/>
      <c r="R10" s="68"/>
    </row>
    <row r="11" spans="2:18" ht="201.75" customHeight="1" x14ac:dyDescent="0.35">
      <c r="B11" s="180"/>
      <c r="C11" s="66" t="s">
        <v>91</v>
      </c>
      <c r="D11" s="70" t="s">
        <v>69</v>
      </c>
      <c r="E11" s="71" t="s">
        <v>92</v>
      </c>
      <c r="F11" s="71" t="s">
        <v>93</v>
      </c>
      <c r="G11" s="71"/>
      <c r="H11" s="72"/>
      <c r="I11" s="71" t="s">
        <v>29</v>
      </c>
      <c r="J11" s="73">
        <v>0.06</v>
      </c>
      <c r="K11" s="71" t="s">
        <v>94</v>
      </c>
      <c r="L11" s="73">
        <v>0.15</v>
      </c>
      <c r="M11" s="71" t="s">
        <v>71</v>
      </c>
      <c r="N11" s="72" t="s">
        <v>95</v>
      </c>
      <c r="O11" s="71" t="s">
        <v>316</v>
      </c>
      <c r="P11" s="71"/>
      <c r="Q11" s="71"/>
      <c r="R11" s="71"/>
    </row>
    <row r="12" spans="2:18" ht="165.75" customHeight="1" x14ac:dyDescent="0.35">
      <c r="B12" s="180"/>
      <c r="C12" s="66" t="s">
        <v>102</v>
      </c>
      <c r="D12" s="70" t="s">
        <v>104</v>
      </c>
      <c r="E12" s="71" t="s">
        <v>105</v>
      </c>
      <c r="F12" s="71" t="s">
        <v>106</v>
      </c>
      <c r="G12" s="71"/>
      <c r="H12" s="64"/>
      <c r="I12" s="71" t="s">
        <v>29</v>
      </c>
      <c r="J12" s="65">
        <v>0.06</v>
      </c>
      <c r="K12" s="71" t="s">
        <v>94</v>
      </c>
      <c r="L12" s="65">
        <v>0.15</v>
      </c>
      <c r="M12" s="71" t="s">
        <v>71</v>
      </c>
      <c r="N12" s="64" t="s">
        <v>107</v>
      </c>
      <c r="O12" s="71" t="s">
        <v>317</v>
      </c>
      <c r="P12" s="71"/>
      <c r="Q12" s="71"/>
      <c r="R12" s="71"/>
    </row>
    <row r="13" spans="2:18" ht="165.75" customHeight="1" x14ac:dyDescent="0.35">
      <c r="B13" s="180"/>
      <c r="C13" s="74" t="s">
        <v>112</v>
      </c>
      <c r="D13" s="75" t="s">
        <v>113</v>
      </c>
      <c r="E13" s="76" t="s">
        <v>114</v>
      </c>
      <c r="F13" s="76" t="s">
        <v>115</v>
      </c>
      <c r="G13" s="76" t="s">
        <v>116</v>
      </c>
      <c r="H13" s="77">
        <v>0.05</v>
      </c>
      <c r="I13" s="76" t="s">
        <v>29</v>
      </c>
      <c r="J13" s="77">
        <v>0.02</v>
      </c>
      <c r="K13" s="76"/>
      <c r="L13" s="78"/>
      <c r="M13" s="76" t="s">
        <v>117</v>
      </c>
      <c r="N13" s="78" t="s">
        <v>118</v>
      </c>
      <c r="O13" s="76" t="s">
        <v>318</v>
      </c>
      <c r="P13" s="76"/>
      <c r="Q13" s="76"/>
      <c r="R13" s="76"/>
    </row>
    <row r="14" spans="2:18" ht="98.25" customHeight="1" x14ac:dyDescent="0.35">
      <c r="B14" s="181"/>
      <c r="C14" s="74" t="s">
        <v>112</v>
      </c>
      <c r="D14" s="75" t="s">
        <v>123</v>
      </c>
      <c r="E14" s="76" t="s">
        <v>114</v>
      </c>
      <c r="F14" s="76" t="s">
        <v>124</v>
      </c>
      <c r="G14" s="76"/>
      <c r="H14" s="77"/>
      <c r="I14" s="76" t="s">
        <v>29</v>
      </c>
      <c r="J14" s="77">
        <v>0.02</v>
      </c>
      <c r="K14" s="76"/>
      <c r="L14" s="78"/>
      <c r="M14" s="76" t="s">
        <v>117</v>
      </c>
      <c r="N14" s="78" t="s">
        <v>125</v>
      </c>
      <c r="O14" s="76" t="s">
        <v>319</v>
      </c>
      <c r="P14" s="76"/>
      <c r="Q14" s="76"/>
      <c r="R14" s="76"/>
    </row>
    <row r="15" spans="2:18" ht="119.25" customHeight="1" x14ac:dyDescent="0.35">
      <c r="B15" s="188" t="s">
        <v>129</v>
      </c>
      <c r="C15" s="79" t="s">
        <v>130</v>
      </c>
      <c r="D15" s="80" t="s">
        <v>69</v>
      </c>
      <c r="E15" s="81" t="s">
        <v>132</v>
      </c>
      <c r="F15" s="81" t="s">
        <v>133</v>
      </c>
      <c r="G15" s="81"/>
      <c r="H15" s="82"/>
      <c r="I15" s="81" t="s">
        <v>29</v>
      </c>
      <c r="J15" s="83">
        <v>0.03</v>
      </c>
      <c r="K15" s="81"/>
      <c r="L15" s="82"/>
      <c r="M15" s="81" t="s">
        <v>134</v>
      </c>
      <c r="N15" s="82" t="s">
        <v>135</v>
      </c>
      <c r="O15" s="84" t="s">
        <v>320</v>
      </c>
      <c r="P15" s="81"/>
      <c r="Q15" s="81"/>
      <c r="R15" s="81"/>
    </row>
    <row r="16" spans="2:18" ht="110.25" customHeight="1" x14ac:dyDescent="0.35">
      <c r="B16" s="180"/>
      <c r="C16" s="79" t="s">
        <v>140</v>
      </c>
      <c r="D16" s="85" t="s">
        <v>142</v>
      </c>
      <c r="E16" s="84" t="s">
        <v>143</v>
      </c>
      <c r="F16" s="84" t="s">
        <v>144</v>
      </c>
      <c r="G16" s="84" t="s">
        <v>145</v>
      </c>
      <c r="H16" s="86">
        <v>0.1</v>
      </c>
      <c r="I16" s="84" t="s">
        <v>29</v>
      </c>
      <c r="J16" s="86">
        <v>0.02</v>
      </c>
      <c r="K16" s="84"/>
      <c r="L16" s="81"/>
      <c r="M16" s="84" t="s">
        <v>146</v>
      </c>
      <c r="N16" s="81" t="s">
        <v>147</v>
      </c>
      <c r="O16" s="84" t="s">
        <v>321</v>
      </c>
      <c r="P16" s="84" t="s">
        <v>149</v>
      </c>
      <c r="Q16" s="84"/>
      <c r="R16" s="84"/>
    </row>
    <row r="17" spans="2:18" s="87" customFormat="1" ht="125.25" customHeight="1" x14ac:dyDescent="0.35">
      <c r="B17" s="184"/>
      <c r="C17" s="88" t="s">
        <v>153</v>
      </c>
      <c r="D17" s="89" t="s">
        <v>154</v>
      </c>
      <c r="E17" s="90" t="s">
        <v>155</v>
      </c>
      <c r="F17" s="90" t="s">
        <v>156</v>
      </c>
      <c r="G17" s="90"/>
      <c r="H17" s="90"/>
      <c r="I17" s="90" t="s">
        <v>29</v>
      </c>
      <c r="J17" s="91">
        <v>0.03</v>
      </c>
      <c r="K17" s="90"/>
      <c r="L17" s="90"/>
      <c r="M17" s="90" t="s">
        <v>157</v>
      </c>
      <c r="N17" s="90" t="s">
        <v>158</v>
      </c>
      <c r="O17" s="90" t="s">
        <v>322</v>
      </c>
      <c r="P17" s="90"/>
      <c r="Q17" s="90"/>
      <c r="R17" s="90"/>
    </row>
    <row r="18" spans="2:18" ht="168.75" customHeight="1" x14ac:dyDescent="0.35">
      <c r="B18" s="182" t="s">
        <v>163</v>
      </c>
      <c r="C18" s="92" t="s">
        <v>164</v>
      </c>
      <c r="D18" s="93" t="s">
        <v>165</v>
      </c>
      <c r="E18" s="94" t="s">
        <v>166</v>
      </c>
      <c r="F18" s="61" t="s">
        <v>59</v>
      </c>
      <c r="G18" s="61" t="s">
        <v>145</v>
      </c>
      <c r="H18" s="95">
        <v>0.2</v>
      </c>
      <c r="I18" s="61" t="s">
        <v>29</v>
      </c>
      <c r="J18" s="95">
        <v>0.04</v>
      </c>
      <c r="K18" s="61"/>
      <c r="L18" s="61"/>
      <c r="M18" s="61" t="s">
        <v>167</v>
      </c>
      <c r="N18" s="61" t="s">
        <v>168</v>
      </c>
      <c r="O18" s="61" t="s">
        <v>323</v>
      </c>
      <c r="P18" s="94"/>
      <c r="Q18" s="94"/>
      <c r="R18" s="94"/>
    </row>
    <row r="19" spans="2:18" ht="156" customHeight="1" x14ac:dyDescent="0.35">
      <c r="B19" s="180"/>
      <c r="C19" s="96" t="s">
        <v>175</v>
      </c>
      <c r="D19" s="97" t="s">
        <v>165</v>
      </c>
      <c r="E19" s="98" t="s">
        <v>166</v>
      </c>
      <c r="F19" s="57" t="s">
        <v>59</v>
      </c>
      <c r="G19" s="61" t="s">
        <v>145</v>
      </c>
      <c r="H19" s="99">
        <v>0.2</v>
      </c>
      <c r="I19" s="61" t="s">
        <v>29</v>
      </c>
      <c r="J19" s="99">
        <v>0.03</v>
      </c>
      <c r="K19" s="61"/>
      <c r="L19" s="94"/>
      <c r="M19" s="94" t="s">
        <v>176</v>
      </c>
      <c r="N19" s="61" t="s">
        <v>177</v>
      </c>
      <c r="O19" s="100" t="s">
        <v>324</v>
      </c>
      <c r="P19" s="98"/>
      <c r="Q19" s="98"/>
      <c r="R19" s="98"/>
    </row>
    <row r="20" spans="2:18" ht="132" customHeight="1" x14ac:dyDescent="0.35">
      <c r="B20" s="180"/>
      <c r="C20" s="96" t="s">
        <v>184</v>
      </c>
      <c r="D20" s="97" t="s">
        <v>165</v>
      </c>
      <c r="E20" s="98" t="s">
        <v>185</v>
      </c>
      <c r="F20" s="57" t="s">
        <v>59</v>
      </c>
      <c r="G20" s="94"/>
      <c r="H20" s="98"/>
      <c r="I20" s="94" t="s">
        <v>29</v>
      </c>
      <c r="J20" s="101">
        <v>0.03</v>
      </c>
      <c r="K20" s="94"/>
      <c r="L20" s="98"/>
      <c r="M20" s="98" t="s">
        <v>186</v>
      </c>
      <c r="N20" s="98" t="s">
        <v>187</v>
      </c>
      <c r="O20" s="102" t="s">
        <v>325</v>
      </c>
      <c r="P20" s="98"/>
      <c r="Q20" s="98"/>
      <c r="R20" s="98"/>
    </row>
    <row r="21" spans="2:18" ht="141" customHeight="1" x14ac:dyDescent="0.35">
      <c r="B21" s="180"/>
      <c r="C21" s="56" t="s">
        <v>192</v>
      </c>
      <c r="D21" s="97" t="s">
        <v>165</v>
      </c>
      <c r="E21" s="98" t="s">
        <v>166</v>
      </c>
      <c r="F21" s="57" t="s">
        <v>59</v>
      </c>
      <c r="G21" s="57" t="s">
        <v>145</v>
      </c>
      <c r="H21" s="101">
        <v>0.2</v>
      </c>
      <c r="I21" s="57" t="s">
        <v>29</v>
      </c>
      <c r="J21" s="101">
        <v>0.04</v>
      </c>
      <c r="K21" s="57"/>
      <c r="L21" s="98"/>
      <c r="M21" s="98" t="s">
        <v>193</v>
      </c>
      <c r="N21" s="98" t="s">
        <v>194</v>
      </c>
      <c r="O21" s="61" t="s">
        <v>326</v>
      </c>
      <c r="P21" s="98"/>
      <c r="Q21" s="98"/>
      <c r="R21" s="98"/>
    </row>
    <row r="22" spans="2:18" s="55" customFormat="1" ht="126" customHeight="1" x14ac:dyDescent="0.35">
      <c r="B22" s="183"/>
      <c r="C22" s="60" t="s">
        <v>199</v>
      </c>
      <c r="D22" s="103" t="s">
        <v>76</v>
      </c>
      <c r="E22" s="104" t="s">
        <v>200</v>
      </c>
      <c r="F22" s="104" t="s">
        <v>201</v>
      </c>
      <c r="G22" s="104"/>
      <c r="H22" s="104"/>
      <c r="I22" s="104" t="s">
        <v>29</v>
      </c>
      <c r="J22" s="105">
        <v>0.04</v>
      </c>
      <c r="K22" s="104"/>
      <c r="L22" s="104"/>
      <c r="M22" s="104" t="s">
        <v>202</v>
      </c>
      <c r="N22" s="57" t="s">
        <v>203</v>
      </c>
      <c r="O22" s="104" t="s">
        <v>327</v>
      </c>
      <c r="P22" s="104"/>
      <c r="Q22" s="104"/>
      <c r="R22" s="104"/>
    </row>
    <row r="23" spans="2:18" s="55" customFormat="1" ht="126" customHeight="1" x14ac:dyDescent="0.35">
      <c r="B23" s="184"/>
      <c r="C23" s="60" t="s">
        <v>208</v>
      </c>
      <c r="D23" s="106" t="s">
        <v>165</v>
      </c>
      <c r="E23" s="61" t="s">
        <v>166</v>
      </c>
      <c r="F23" s="61" t="s">
        <v>59</v>
      </c>
      <c r="G23" s="61" t="s">
        <v>209</v>
      </c>
      <c r="H23" s="95">
        <v>0.2</v>
      </c>
      <c r="I23" s="61" t="s">
        <v>29</v>
      </c>
      <c r="J23" s="95">
        <v>0.04</v>
      </c>
      <c r="K23" s="107"/>
      <c r="L23" s="107"/>
      <c r="M23" s="107" t="s">
        <v>210</v>
      </c>
      <c r="N23" s="61" t="s">
        <v>211</v>
      </c>
      <c r="O23" s="61" t="s">
        <v>328</v>
      </c>
      <c r="P23" s="107"/>
      <c r="Q23" s="107"/>
      <c r="R23" s="107"/>
    </row>
    <row r="24" spans="2:18" s="55" customFormat="1" ht="81.75" customHeight="1" x14ac:dyDescent="0.35">
      <c r="B24" s="189" t="s">
        <v>215</v>
      </c>
      <c r="C24" s="108" t="s">
        <v>216</v>
      </c>
      <c r="D24" s="63" t="s">
        <v>217</v>
      </c>
      <c r="E24" s="64" t="s">
        <v>218</v>
      </c>
      <c r="F24" s="64"/>
      <c r="G24" s="64"/>
      <c r="H24" s="64"/>
      <c r="I24" s="64" t="s">
        <v>29</v>
      </c>
      <c r="J24" s="65">
        <v>0.02</v>
      </c>
      <c r="K24" s="64"/>
      <c r="L24" s="64"/>
      <c r="M24" s="64" t="s">
        <v>219</v>
      </c>
      <c r="N24" s="64" t="s">
        <v>220</v>
      </c>
      <c r="O24" s="64" t="s">
        <v>329</v>
      </c>
      <c r="P24" s="64"/>
      <c r="Q24" s="64"/>
      <c r="R24" s="64"/>
    </row>
    <row r="25" spans="2:18" s="55" customFormat="1" ht="76.5" customHeight="1" x14ac:dyDescent="0.35">
      <c r="B25" s="183"/>
      <c r="C25" s="108" t="s">
        <v>224</v>
      </c>
      <c r="D25" s="63" t="s">
        <v>217</v>
      </c>
      <c r="E25" s="64" t="s">
        <v>218</v>
      </c>
      <c r="F25" s="64"/>
      <c r="G25" s="64"/>
      <c r="H25" s="64"/>
      <c r="I25" s="64" t="s">
        <v>29</v>
      </c>
      <c r="J25" s="65">
        <v>0.02</v>
      </c>
      <c r="K25" s="64"/>
      <c r="L25" s="64"/>
      <c r="M25" s="64" t="s">
        <v>219</v>
      </c>
      <c r="N25" s="64" t="s">
        <v>220</v>
      </c>
      <c r="O25" s="64" t="s">
        <v>330</v>
      </c>
      <c r="P25" s="64"/>
      <c r="Q25" s="64"/>
      <c r="R25" s="64"/>
    </row>
    <row r="26" spans="2:18" s="55" customFormat="1" ht="87" customHeight="1" x14ac:dyDescent="0.35">
      <c r="B26" s="183"/>
      <c r="C26" s="108" t="s">
        <v>227</v>
      </c>
      <c r="D26" s="63" t="s">
        <v>217</v>
      </c>
      <c r="E26" s="64" t="s">
        <v>228</v>
      </c>
      <c r="F26" s="64"/>
      <c r="G26" s="64"/>
      <c r="H26" s="64"/>
      <c r="I26" s="64" t="s">
        <v>29</v>
      </c>
      <c r="J26" s="65">
        <v>0.03</v>
      </c>
      <c r="K26" s="64"/>
      <c r="L26" s="64"/>
      <c r="M26" s="64" t="s">
        <v>219</v>
      </c>
      <c r="N26" s="64" t="s">
        <v>220</v>
      </c>
      <c r="O26" s="64" t="s">
        <v>329</v>
      </c>
      <c r="P26" s="64"/>
      <c r="Q26" s="64"/>
      <c r="R26" s="64"/>
    </row>
    <row r="27" spans="2:18" s="55" customFormat="1" ht="88.5" customHeight="1" x14ac:dyDescent="0.35">
      <c r="B27" s="183"/>
      <c r="C27" s="108" t="s">
        <v>229</v>
      </c>
      <c r="D27" s="63" t="s">
        <v>217</v>
      </c>
      <c r="E27" s="64" t="s">
        <v>228</v>
      </c>
      <c r="F27" s="64"/>
      <c r="G27" s="64"/>
      <c r="H27" s="64"/>
      <c r="I27" s="64" t="s">
        <v>29</v>
      </c>
      <c r="J27" s="65">
        <v>0.02</v>
      </c>
      <c r="K27" s="64"/>
      <c r="L27" s="64"/>
      <c r="M27" s="64" t="s">
        <v>219</v>
      </c>
      <c r="N27" s="64" t="s">
        <v>220</v>
      </c>
      <c r="O27" s="64" t="s">
        <v>331</v>
      </c>
      <c r="P27" s="64"/>
      <c r="Q27" s="64"/>
      <c r="R27" s="64"/>
    </row>
    <row r="28" spans="2:18" s="55" customFormat="1" ht="98.25" customHeight="1" x14ac:dyDescent="0.35">
      <c r="B28" s="183"/>
      <c r="C28" s="108" t="s">
        <v>231</v>
      </c>
      <c r="D28" s="63" t="s">
        <v>217</v>
      </c>
      <c r="E28" s="64" t="s">
        <v>218</v>
      </c>
      <c r="F28" s="64"/>
      <c r="G28" s="64"/>
      <c r="H28" s="64"/>
      <c r="I28" s="64" t="s">
        <v>29</v>
      </c>
      <c r="J28" s="65">
        <v>0.02</v>
      </c>
      <c r="K28" s="64"/>
      <c r="L28" s="64"/>
      <c r="M28" s="64" t="s">
        <v>219</v>
      </c>
      <c r="N28" s="64" t="s">
        <v>220</v>
      </c>
      <c r="O28" s="64" t="s">
        <v>332</v>
      </c>
      <c r="P28" s="64"/>
      <c r="Q28" s="64"/>
      <c r="R28" s="64"/>
    </row>
    <row r="29" spans="2:18" s="55" customFormat="1" ht="105" customHeight="1" x14ac:dyDescent="0.35">
      <c r="B29" s="183"/>
      <c r="C29" s="108" t="s">
        <v>233</v>
      </c>
      <c r="D29" s="63" t="s">
        <v>234</v>
      </c>
      <c r="E29" s="64" t="s">
        <v>235</v>
      </c>
      <c r="F29" s="64"/>
      <c r="G29" s="64"/>
      <c r="H29" s="64"/>
      <c r="I29" s="64" t="s">
        <v>29</v>
      </c>
      <c r="J29" s="65">
        <v>0.03</v>
      </c>
      <c r="K29" s="64" t="s">
        <v>236</v>
      </c>
      <c r="L29" s="65">
        <v>0.05</v>
      </c>
      <c r="M29" s="64" t="s">
        <v>219</v>
      </c>
      <c r="N29" s="64" t="s">
        <v>220</v>
      </c>
      <c r="O29" s="64" t="s">
        <v>333</v>
      </c>
      <c r="P29" s="64"/>
      <c r="Q29" s="64"/>
      <c r="R29" s="64"/>
    </row>
    <row r="30" spans="2:18" s="55" customFormat="1" ht="126.75" customHeight="1" x14ac:dyDescent="0.35">
      <c r="B30" s="183"/>
      <c r="C30" s="108" t="s">
        <v>239</v>
      </c>
      <c r="D30" s="63" t="s">
        <v>234</v>
      </c>
      <c r="E30" s="64" t="s">
        <v>235</v>
      </c>
      <c r="F30" s="64"/>
      <c r="G30" s="64"/>
      <c r="H30" s="64"/>
      <c r="I30" s="64" t="s">
        <v>29</v>
      </c>
      <c r="J30" s="65">
        <v>0.03</v>
      </c>
      <c r="K30" s="64" t="s">
        <v>236</v>
      </c>
      <c r="L30" s="65">
        <v>0.05</v>
      </c>
      <c r="M30" s="64" t="s">
        <v>240</v>
      </c>
      <c r="N30" s="64" t="s">
        <v>241</v>
      </c>
      <c r="O30" s="109" t="s">
        <v>334</v>
      </c>
      <c r="P30" s="64"/>
      <c r="Q30" s="64"/>
      <c r="R30" s="64"/>
    </row>
    <row r="31" spans="2:18" s="55" customFormat="1" ht="93" customHeight="1" x14ac:dyDescent="0.35">
      <c r="B31" s="183"/>
      <c r="C31" s="108" t="s">
        <v>243</v>
      </c>
      <c r="D31" s="63" t="s">
        <v>217</v>
      </c>
      <c r="E31" s="64" t="s">
        <v>218</v>
      </c>
      <c r="F31" s="64"/>
      <c r="G31" s="64"/>
      <c r="H31" s="64"/>
      <c r="I31" s="64" t="s">
        <v>29</v>
      </c>
      <c r="J31" s="65">
        <v>0.02</v>
      </c>
      <c r="K31" s="64" t="s">
        <v>236</v>
      </c>
      <c r="L31" s="65">
        <v>0.05</v>
      </c>
      <c r="M31" s="64" t="s">
        <v>240</v>
      </c>
      <c r="N31" s="64" t="s">
        <v>241</v>
      </c>
      <c r="O31" s="109" t="s">
        <v>335</v>
      </c>
      <c r="P31" s="64"/>
      <c r="Q31" s="64"/>
      <c r="R31" s="64"/>
    </row>
    <row r="32" spans="2:18" s="55" customFormat="1" ht="104.25" customHeight="1" x14ac:dyDescent="0.35">
      <c r="B32" s="184"/>
      <c r="C32" s="108" t="s">
        <v>245</v>
      </c>
      <c r="D32" s="64" t="s">
        <v>246</v>
      </c>
      <c r="E32" s="64" t="s">
        <v>218</v>
      </c>
      <c r="F32" s="64"/>
      <c r="G32" s="64"/>
      <c r="H32" s="64"/>
      <c r="I32" s="64" t="s">
        <v>29</v>
      </c>
      <c r="J32" s="65">
        <v>0.02</v>
      </c>
      <c r="K32" s="64"/>
      <c r="L32" s="64"/>
      <c r="M32" s="64" t="s">
        <v>219</v>
      </c>
      <c r="N32" s="64" t="s">
        <v>220</v>
      </c>
      <c r="O32" s="64" t="s">
        <v>336</v>
      </c>
      <c r="P32" s="64"/>
      <c r="Q32" s="64"/>
      <c r="R32" s="64"/>
    </row>
    <row r="33" spans="2:18" ht="57.75" customHeight="1" x14ac:dyDescent="0.35">
      <c r="B33" s="186" t="s">
        <v>249</v>
      </c>
      <c r="C33" s="92" t="s">
        <v>250</v>
      </c>
      <c r="D33" s="93" t="s">
        <v>251</v>
      </c>
      <c r="E33" s="94" t="s">
        <v>252</v>
      </c>
      <c r="F33" s="94" t="s">
        <v>253</v>
      </c>
      <c r="G33" s="94"/>
      <c r="H33" s="94"/>
      <c r="I33" s="94"/>
      <c r="J33" s="94"/>
      <c r="K33" s="94" t="s">
        <v>54</v>
      </c>
      <c r="L33" s="99">
        <v>0.05</v>
      </c>
      <c r="M33" s="94" t="s">
        <v>254</v>
      </c>
      <c r="N33" s="94" t="s">
        <v>255</v>
      </c>
      <c r="O33" s="94" t="s">
        <v>337</v>
      </c>
      <c r="P33" s="94"/>
      <c r="Q33" s="94"/>
      <c r="R33" s="94"/>
    </row>
    <row r="34" spans="2:18" ht="93.75" customHeight="1" x14ac:dyDescent="0.35">
      <c r="B34" s="180"/>
      <c r="C34" s="96" t="s">
        <v>338</v>
      </c>
      <c r="D34" s="97" t="s">
        <v>339</v>
      </c>
      <c r="E34" s="98" t="s">
        <v>339</v>
      </c>
      <c r="F34" s="98" t="s">
        <v>340</v>
      </c>
      <c r="G34" s="98" t="s">
        <v>341</v>
      </c>
      <c r="H34" s="98"/>
      <c r="I34" s="98"/>
      <c r="J34" s="98"/>
      <c r="K34" s="98" t="s">
        <v>29</v>
      </c>
      <c r="L34" s="98"/>
      <c r="M34" s="98" t="s">
        <v>341</v>
      </c>
      <c r="N34" s="98" t="s">
        <v>342</v>
      </c>
      <c r="O34" s="98" t="s">
        <v>343</v>
      </c>
      <c r="P34" s="98"/>
      <c r="Q34" s="98"/>
      <c r="R34" s="98"/>
    </row>
    <row r="35" spans="2:18" ht="57.75" customHeight="1" x14ac:dyDescent="0.35"/>
    <row r="36" spans="2:18" x14ac:dyDescent="0.35">
      <c r="D36" s="110" t="s">
        <v>344</v>
      </c>
      <c r="E36" s="111" t="s">
        <v>345</v>
      </c>
      <c r="F36" s="112" t="s">
        <v>346</v>
      </c>
      <c r="G36" s="112" t="s">
        <v>347</v>
      </c>
      <c r="I36" s="112"/>
      <c r="K36" s="112"/>
    </row>
    <row r="37" spans="2:18" x14ac:dyDescent="0.35">
      <c r="D37" s="43" t="s">
        <v>348</v>
      </c>
      <c r="E37" t="s">
        <v>349</v>
      </c>
      <c r="F37" t="s">
        <v>350</v>
      </c>
      <c r="G37" t="s">
        <v>351</v>
      </c>
    </row>
    <row r="38" spans="2:18" x14ac:dyDescent="0.35">
      <c r="D38" s="43" t="s">
        <v>352</v>
      </c>
      <c r="E38" t="s">
        <v>353</v>
      </c>
      <c r="F38" t="s">
        <v>354</v>
      </c>
      <c r="G38" t="s">
        <v>355</v>
      </c>
    </row>
    <row r="39" spans="2:18" x14ac:dyDescent="0.35">
      <c r="D39" s="43" t="s">
        <v>356</v>
      </c>
      <c r="E39" t="s">
        <v>357</v>
      </c>
      <c r="F39" t="s">
        <v>358</v>
      </c>
      <c r="G39" t="s">
        <v>359</v>
      </c>
    </row>
    <row r="40" spans="2:18" x14ac:dyDescent="0.35">
      <c r="F40" t="s">
        <v>360</v>
      </c>
    </row>
    <row r="41" spans="2:18" x14ac:dyDescent="0.35">
      <c r="F41" t="s">
        <v>361</v>
      </c>
    </row>
    <row r="43" spans="2:18" x14ac:dyDescent="0.35">
      <c r="D43" s="110" t="s">
        <v>362</v>
      </c>
    </row>
    <row r="44" spans="2:18" x14ac:dyDescent="0.35">
      <c r="D44" t="s">
        <v>363</v>
      </c>
    </row>
  </sheetData>
  <autoFilter ref="A3:R34" xr:uid="{00000000-0009-0000-0000-000002000000}"/>
  <mergeCells count="7">
    <mergeCell ref="B9:B14"/>
    <mergeCell ref="B18:B23"/>
    <mergeCell ref="B4:B6"/>
    <mergeCell ref="B33:B34"/>
    <mergeCell ref="B7:B8"/>
    <mergeCell ref="B15:B17"/>
    <mergeCell ref="B24:B32"/>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10"/>
  <sheetViews>
    <sheetView zoomScaleNormal="100" workbookViewId="0">
      <selection activeCell="D17" sqref="D17"/>
    </sheetView>
  </sheetViews>
  <sheetFormatPr baseColWidth="10" defaultColWidth="8.7265625" defaultRowHeight="14.5" x14ac:dyDescent="0.35"/>
  <cols>
    <col min="1" max="1" width="15.1796875" customWidth="1"/>
    <col min="2" max="2" width="14.81640625" style="34" customWidth="1"/>
    <col min="3" max="7" width="14.26953125" style="34" customWidth="1"/>
    <col min="8" max="8" width="3.81640625" customWidth="1"/>
    <col min="9" max="9" width="8.7265625" style="34" customWidth="1"/>
    <col min="10" max="10" width="9.81640625" style="34" customWidth="1"/>
    <col min="11" max="11" width="3.1796875" customWidth="1"/>
    <col min="12" max="13" width="9.54296875" customWidth="1"/>
    <col min="14" max="14" width="4.453125" customWidth="1"/>
    <col min="15" max="16" width="8.7265625" style="34" customWidth="1"/>
    <col min="17" max="17" width="3.453125" style="34" customWidth="1"/>
    <col min="18" max="18" width="13.81640625" style="34" customWidth="1"/>
  </cols>
  <sheetData>
    <row r="2" spans="1:18" x14ac:dyDescent="0.35">
      <c r="A2" s="113"/>
      <c r="B2" s="114" t="s">
        <v>364</v>
      </c>
      <c r="C2" s="34">
        <v>100</v>
      </c>
    </row>
    <row r="4" spans="1:18" ht="15" customHeight="1" x14ac:dyDescent="0.35">
      <c r="B4" s="115" t="s">
        <v>29</v>
      </c>
      <c r="C4" s="116" t="s">
        <v>365</v>
      </c>
      <c r="D4" s="116" t="s">
        <v>366</v>
      </c>
      <c r="E4" s="116" t="s">
        <v>367</v>
      </c>
      <c r="F4" s="116" t="s">
        <v>368</v>
      </c>
      <c r="G4" s="116" t="s">
        <v>369</v>
      </c>
      <c r="I4" s="190" t="s">
        <v>370</v>
      </c>
      <c r="J4" s="191"/>
      <c r="L4" s="190"/>
      <c r="M4" s="192"/>
      <c r="R4" s="193" t="s">
        <v>371</v>
      </c>
    </row>
    <row r="5" spans="1:18" x14ac:dyDescent="0.35">
      <c r="B5" s="117" t="s">
        <v>372</v>
      </c>
      <c r="C5" s="117">
        <v>1</v>
      </c>
      <c r="D5" s="117">
        <v>2</v>
      </c>
      <c r="E5" s="117">
        <v>3</v>
      </c>
      <c r="F5" s="117">
        <v>4</v>
      </c>
      <c r="G5" s="117">
        <v>5</v>
      </c>
      <c r="I5" s="117" t="s">
        <v>29</v>
      </c>
      <c r="J5" s="117" t="s">
        <v>373</v>
      </c>
      <c r="O5" s="194" t="s">
        <v>374</v>
      </c>
      <c r="P5" s="184"/>
      <c r="R5" s="191"/>
    </row>
    <row r="6" spans="1:18" x14ac:dyDescent="0.35">
      <c r="B6" s="114" t="s">
        <v>375</v>
      </c>
      <c r="C6" s="34">
        <v>6</v>
      </c>
      <c r="D6" s="34">
        <v>3</v>
      </c>
      <c r="E6" s="34">
        <v>35</v>
      </c>
      <c r="F6" s="34">
        <v>33</v>
      </c>
      <c r="G6" s="34">
        <v>23</v>
      </c>
      <c r="I6" s="118">
        <f>((F6+G6)/C2)</f>
        <v>0.56000000000000005</v>
      </c>
      <c r="J6" s="119">
        <v>6.6E-3</v>
      </c>
      <c r="O6" s="34">
        <v>56</v>
      </c>
      <c r="P6" s="119">
        <f>J6</f>
        <v>6.6E-3</v>
      </c>
      <c r="Q6" s="118"/>
      <c r="R6" s="120">
        <f>O6*P6</f>
        <v>0.36959999999999998</v>
      </c>
    </row>
    <row r="8" spans="1:18" ht="15" customHeight="1" x14ac:dyDescent="0.35">
      <c r="B8" s="115" t="s">
        <v>33</v>
      </c>
      <c r="C8" s="116" t="s">
        <v>365</v>
      </c>
      <c r="D8" s="116" t="s">
        <v>366</v>
      </c>
      <c r="E8" s="116" t="s">
        <v>367</v>
      </c>
      <c r="F8" s="116" t="s">
        <v>368</v>
      </c>
      <c r="G8" s="116" t="s">
        <v>369</v>
      </c>
      <c r="R8" s="193" t="s">
        <v>376</v>
      </c>
    </row>
    <row r="9" spans="1:18" x14ac:dyDescent="0.35">
      <c r="B9" s="117" t="s">
        <v>372</v>
      </c>
      <c r="C9" s="117">
        <v>1</v>
      </c>
      <c r="D9" s="117">
        <v>2</v>
      </c>
      <c r="E9" s="117">
        <v>3</v>
      </c>
      <c r="F9" s="117">
        <v>4</v>
      </c>
      <c r="G9" s="117">
        <v>5</v>
      </c>
      <c r="I9" s="117" t="s">
        <v>33</v>
      </c>
      <c r="J9" s="117" t="s">
        <v>373</v>
      </c>
      <c r="O9" s="194" t="s">
        <v>374</v>
      </c>
      <c r="P9" s="184"/>
      <c r="R9" s="191"/>
    </row>
    <row r="10" spans="1:18" x14ac:dyDescent="0.35">
      <c r="B10" s="114" t="s">
        <v>375</v>
      </c>
      <c r="C10" s="34">
        <v>3</v>
      </c>
      <c r="D10" s="34">
        <v>18</v>
      </c>
      <c r="E10" s="34">
        <v>22</v>
      </c>
      <c r="F10" s="34">
        <v>55</v>
      </c>
      <c r="G10" s="34">
        <v>2</v>
      </c>
      <c r="I10" s="34">
        <f>((C10*C9)+(D10*D9)+(E10*E9)+(F10*F9)+(G10*G9))/100</f>
        <v>3.35</v>
      </c>
      <c r="J10" s="118">
        <v>0.2</v>
      </c>
      <c r="O10" s="34">
        <v>3.35</v>
      </c>
      <c r="P10" s="118">
        <v>0.05</v>
      </c>
      <c r="R10" s="120">
        <f>O10*P10</f>
        <v>0.16750000000000001</v>
      </c>
    </row>
  </sheetData>
  <mergeCells count="6">
    <mergeCell ref="I4:J4"/>
    <mergeCell ref="L4:M4"/>
    <mergeCell ref="R4:R5"/>
    <mergeCell ref="O5:P5"/>
    <mergeCell ref="R8:R9"/>
    <mergeCell ref="O9:P9"/>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PONDERACIONES</vt:lpstr>
      <vt:lpstr>COMENTARIOS</vt:lpstr>
      <vt:lpstr>PLAN</vt:lpstr>
      <vt:lpstr>ANALISIS PONDERACIONES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Alvaro Fernandez</cp:lastModifiedBy>
  <cp:revision>0</cp:revision>
  <dcterms:created xsi:type="dcterms:W3CDTF">2025-12-17T15:13:14Z</dcterms:created>
  <dcterms:modified xsi:type="dcterms:W3CDTF">2026-07-02T12:45:01Z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0x01010040DC994F449D5047B0200361DC400854</vt:lpwstr>
  </property>
  <property fmtid="{D5CDD505-2E9C-101B-9397-08002B2CF9AE}" pid="4" name="MediaServiceImageTags">
    <vt:lpwstr/>
  </property>
  <property fmtid="{D5CDD505-2E9C-101B-9397-08002B2CF9AE}" pid="5" name="Order">
    <vt:r8>836200</vt:r8>
  </property>
  <property fmtid="{D5CDD505-2E9C-101B-9397-08002B2CF9AE}" pid="6" name="TriggerFlowInfo">
    <vt:lpwstr/>
  </property>
  <property fmtid="{D5CDD505-2E9C-101B-9397-08002B2CF9AE}" pid="7" name="_ExtendedDescription">
    <vt:lpwstr/>
  </property>
  <property fmtid="{D5CDD505-2E9C-101B-9397-08002B2CF9AE}" pid="8" name="_activity">
    <vt:lpwstr>{"FileActivityType":"9","FileActivityTimeStamp":"2026-02-11T07:55:18.600Z","FileActivityUsersOnPage":[{"DisplayName":"Ruben Morcillo","Id":"ruben.morcillo@polarissi.com"},{"DisplayName":"Ricardo Crespo","Id":"ricardo.crespo@polarissi.com"}],"FileActivityNavigationId":null}</vt:lpwstr>
  </property>
</Properties>
</file>